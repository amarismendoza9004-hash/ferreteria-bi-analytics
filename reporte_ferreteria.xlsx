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 rápida" sheetId="1" state="visible" r:id="rId1"/>
    <sheet xmlns:r="http://schemas.openxmlformats.org/officeDocument/2006/relationships" name="Resumen KPIs" sheetId="2" state="visible" r:id="rId2"/>
    <sheet xmlns:r="http://schemas.openxmlformats.org/officeDocument/2006/relationships" name="Categoría x Canal" sheetId="3" state="visible" r:id="rId3"/>
    <sheet xmlns:r="http://schemas.openxmlformats.org/officeDocument/2006/relationships" name="Mensual x Categoría" sheetId="4" state="visible" r:id="rId4"/>
    <sheet xmlns:r="http://schemas.openxmlformats.org/officeDocument/2006/relationships" name="Canales" sheetId="5" state="visible" r:id="rId5"/>
    <sheet xmlns:r="http://schemas.openxmlformats.org/officeDocument/2006/relationships" name="Top productos" sheetId="6" state="visible" r:id="rId6"/>
    <sheet xmlns:r="http://schemas.openxmlformats.org/officeDocument/2006/relationships" name="ABC" sheetId="7" state="visible" r:id="rId7"/>
    <sheet xmlns:r="http://schemas.openxmlformats.org/officeDocument/2006/relationships" name="Reabastecimiento" sheetId="8" state="visible" r:id="rId8"/>
    <sheet xmlns:r="http://schemas.openxmlformats.org/officeDocument/2006/relationships" name="Dif. inventario" sheetId="9" state="visible" r:id="rId9"/>
    <sheet xmlns:r="http://schemas.openxmlformats.org/officeDocument/2006/relationships" name="Erosión margen" sheetId="10" state="visible" r:id="rId10"/>
    <sheet xmlns:r="http://schemas.openxmlformats.org/officeDocument/2006/relationships" name="Precio &lt; costo" sheetId="11" state="visible" r:id="rId11"/>
    <sheet xmlns:r="http://schemas.openxmlformats.org/officeDocument/2006/relationships" name="Anomalías" sheetId="12" state="visible" r:id="rId12"/>
  </sheets>
  <definedNames>
    <definedName name="_xlnm._FilterDatabase" localSheetId="1" hidden="1">'Resumen KPIs'!$A$2:$F$5</definedName>
    <definedName name="_xlnm._FilterDatabase" localSheetId="2" hidden="1">'Categoría x Canal'!$A$2:$F$12</definedName>
    <definedName name="_xlnm._FilterDatabase" localSheetId="3" hidden="1">'Mensual x Categoría'!$A$2:$J$26</definedName>
    <definedName name="_xlnm._FilterDatabase" localSheetId="4" hidden="1">'Canales'!$A$2:$D$6</definedName>
    <definedName name="_xlnm._FilterDatabase" localSheetId="5" hidden="1">'Top productos'!$A$2:$G$17</definedName>
    <definedName name="_xlnm._FilterDatabase" localSheetId="6" hidden="1">'ABC'!$A$2:$D$5</definedName>
    <definedName name="_xlnm._FilterDatabase" localSheetId="7" hidden="1">'Reabastecimiento'!$A$2:$I$27</definedName>
    <definedName name="_xlnm._FilterDatabase" localSheetId="8" hidden="1">'Dif. inventario'!$A$2:$G$22</definedName>
    <definedName name="_xlnm._FilterDatabase" localSheetId="9" hidden="1">'Erosión margen'!$A$2:$J$20</definedName>
    <definedName name="_xlnm._FilterDatabase" localSheetId="10" hidden="1">'Precio &lt; costo'!$A$2:$H$9</definedName>
    <definedName name="_xlnm._FilterDatabase" localSheetId="11" hidden="1">'Anomalías'!$A$2:$I$12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2" t="inlineStr">
        <is>
          <t>Consulta rápida de ventas por categoría</t>
        </is>
      </c>
    </row>
    <row r="3">
      <c r="A3" t="inlineStr">
        <is>
          <t>Elige una categoría:</t>
        </is>
      </c>
      <c r="B3" s="3" t="inlineStr">
        <is>
          <t>Construcción</t>
        </is>
      </c>
    </row>
    <row r="4">
      <c r="B4" t="inlineStr">
        <is>
          <t>Ventas</t>
        </is>
      </c>
      <c r="C4" t="inlineStr">
        <is>
          <t>% del total</t>
        </is>
      </c>
    </row>
    <row r="5">
      <c r="A5" t="inlineStr">
        <is>
          <t>Amazon</t>
        </is>
      </c>
      <c r="B5" s="4">
        <f>INDEX('Categoría x Canal'!B:B,MATCH($B$3,'Categoría x Canal'!A:A,0))</f>
        <v/>
      </c>
      <c r="C5" s="5">
        <f>IFERROR(B5/$B$9,0)</f>
        <v/>
      </c>
    </row>
    <row r="6">
      <c r="A6" t="inlineStr">
        <is>
          <t>Mercado Libre</t>
        </is>
      </c>
      <c r="B6" s="4">
        <f>INDEX('Categoría x Canal'!C:C,MATCH($B$3,'Categoría x Canal'!A:A,0))</f>
        <v/>
      </c>
      <c r="C6" s="5">
        <f>IFERROR(B6/$B$9,0)</f>
        <v/>
      </c>
    </row>
    <row r="7">
      <c r="A7" t="inlineStr">
        <is>
          <t>Mostrador</t>
        </is>
      </c>
      <c r="B7" s="4">
        <f>INDEX('Categoría x Canal'!D:D,MATCH($B$3,'Categoría x Canal'!A:A,0))</f>
        <v/>
      </c>
      <c r="C7" s="5">
        <f>IFERROR(B7/$B$9,0)</f>
        <v/>
      </c>
    </row>
    <row r="8">
      <c r="A8" t="inlineStr">
        <is>
          <t>WhatsApp</t>
        </is>
      </c>
      <c r="B8" s="4">
        <f>INDEX('Categoría x Canal'!E:E,MATCH($B$3,'Categoría x Canal'!A:A,0))</f>
        <v/>
      </c>
      <c r="C8" s="5">
        <f>IFERROR(B8/$B$9,0)</f>
        <v/>
      </c>
    </row>
    <row r="9">
      <c r="A9" s="6" t="inlineStr">
        <is>
          <t>Total</t>
        </is>
      </c>
      <c r="B9" s="7">
        <f>INDEX('Categoría x Canal'!F:F,MATCH($B$3,'Categoría x Canal'!A:A,0))</f>
        <v/>
      </c>
      <c r="C9" s="5">
        <f>IFERROR(B9/$B$9,0)</f>
        <v/>
      </c>
    </row>
  </sheetData>
  <dataValidations count="1">
    <dataValidation sqref="B3" showDropDown="0" showInputMessage="0" showErrorMessage="0" allowBlank="0" type="list">
      <formula1>='Categoría x Canal'!$A$3:$A$11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2" customWidth="1" min="5" max="5"/>
    <col width="17" customWidth="1" min="6" max="6"/>
  </cols>
  <sheetData>
    <row r="1">
      <c r="A1" s="2" t="inlineStr">
        <is>
          <t>Resumen KPIs</t>
        </is>
      </c>
    </row>
    <row r="2">
      <c r="A2" s="8" t="inlineStr">
        <is>
          <t>anio</t>
        </is>
      </c>
      <c r="B2" s="8" t="inlineStr">
        <is>
          <t>tickets</t>
        </is>
      </c>
      <c r="C2" s="8" t="inlineStr">
        <is>
          <t>ventas_netas</t>
        </is>
      </c>
      <c r="D2" s="8" t="inlineStr">
        <is>
          <t>utilidad_bruta</t>
        </is>
      </c>
      <c r="E2" s="8" t="inlineStr">
        <is>
          <t>margen_pct</t>
        </is>
      </c>
      <c r="F2" s="8" t="inlineStr">
        <is>
          <t>ticket_promedio</t>
        </is>
      </c>
    </row>
    <row r="3">
      <c r="A3" t="inlineStr">
        <is>
          <t>2024</t>
        </is>
      </c>
      <c r="B3" t="n">
        <v>17700</v>
      </c>
      <c r="C3" s="4" t="n">
        <v>30453152.67</v>
      </c>
      <c r="D3" s="4" t="n">
        <v>7215612.01</v>
      </c>
      <c r="E3" t="n">
        <v>23.69</v>
      </c>
      <c r="F3" t="n">
        <v>1720.52</v>
      </c>
    </row>
    <row r="4">
      <c r="A4" t="inlineStr">
        <is>
          <t>2025</t>
        </is>
      </c>
      <c r="B4" t="n">
        <v>36773</v>
      </c>
      <c r="C4" s="4" t="n">
        <v>65450220.26</v>
      </c>
      <c r="D4" s="4" t="n">
        <v>15119373.91</v>
      </c>
      <c r="E4" t="n">
        <v>23.1</v>
      </c>
      <c r="F4" t="n">
        <v>1779.84</v>
      </c>
    </row>
    <row r="5">
      <c r="A5" t="inlineStr">
        <is>
          <t>2026</t>
        </is>
      </c>
      <c r="B5" t="n">
        <v>19479</v>
      </c>
      <c r="C5" s="4" t="n">
        <v>36421858.88</v>
      </c>
      <c r="D5" s="4" t="n">
        <v>8183484.67</v>
      </c>
      <c r="E5" t="n">
        <v>22.47</v>
      </c>
      <c r="F5" t="n">
        <v>1869.8</v>
      </c>
    </row>
  </sheetData>
  <autoFilter ref="A2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3" customWidth="1" min="4" max="4"/>
    <col width="12" customWidth="1" min="5" max="5"/>
    <col width="14" customWidth="1" min="6" max="6"/>
  </cols>
  <sheetData>
    <row r="1">
      <c r="A1" s="2" t="inlineStr">
        <is>
          <t>Categoría x Canal</t>
        </is>
      </c>
    </row>
    <row r="2">
      <c r="A2" s="8" t="inlineStr">
        <is>
          <t>categoria</t>
        </is>
      </c>
      <c r="B2" s="8" t="inlineStr">
        <is>
          <t>Amazon</t>
        </is>
      </c>
      <c r="C2" s="8" t="inlineStr">
        <is>
          <t>Mercado Libre</t>
        </is>
      </c>
      <c r="D2" s="8" t="inlineStr">
        <is>
          <t>Mostrador</t>
        </is>
      </c>
      <c r="E2" s="8" t="inlineStr">
        <is>
          <t>WhatsApp</t>
        </is>
      </c>
      <c r="F2" s="8" t="inlineStr">
        <is>
          <t>Total</t>
        </is>
      </c>
    </row>
    <row r="3">
      <c r="A3" t="inlineStr">
        <is>
          <t>Construcción</t>
        </is>
      </c>
      <c r="B3" s="4" t="n">
        <v>1517410.5</v>
      </c>
      <c r="C3" s="4" t="n">
        <v>3430645.49</v>
      </c>
      <c r="D3" s="4" t="n">
        <v>16695541.08</v>
      </c>
      <c r="E3" s="4" t="n">
        <v>2761314.94</v>
      </c>
      <c r="F3" s="4" t="n">
        <v>24404912.01</v>
      </c>
    </row>
    <row r="4">
      <c r="A4" t="inlineStr">
        <is>
          <t>Eléctrico</t>
        </is>
      </c>
      <c r="B4" s="4" t="n">
        <v>1486770.29</v>
      </c>
      <c r="C4" s="4" t="n">
        <v>3555307.17</v>
      </c>
      <c r="D4" s="4" t="n">
        <v>17618232.79</v>
      </c>
      <c r="E4" s="4" t="n">
        <v>1229940.1</v>
      </c>
      <c r="F4" s="4" t="n">
        <v>23890250.35</v>
      </c>
    </row>
    <row r="5">
      <c r="A5" t="inlineStr">
        <is>
          <t>Herramientas</t>
        </is>
      </c>
      <c r="B5" s="4" t="n">
        <v>1298426.42</v>
      </c>
      <c r="C5" s="4" t="n">
        <v>3184869.76</v>
      </c>
      <c r="D5" s="4" t="n">
        <v>17479814.4</v>
      </c>
      <c r="E5" s="4" t="n">
        <v>1280171.9</v>
      </c>
      <c r="F5" s="4" t="n">
        <v>23243282.48</v>
      </c>
    </row>
    <row r="6">
      <c r="A6" t="inlineStr">
        <is>
          <t>Impermeabilizantes</t>
        </is>
      </c>
      <c r="B6" s="4" t="n">
        <v>1011879.87</v>
      </c>
      <c r="C6" s="4" t="n">
        <v>2516791.12</v>
      </c>
      <c r="D6" s="4" t="n">
        <v>12590038.72</v>
      </c>
      <c r="E6" s="4" t="n">
        <v>952788.6</v>
      </c>
      <c r="F6" s="4" t="n">
        <v>17071498.31</v>
      </c>
    </row>
    <row r="7">
      <c r="A7" t="inlineStr">
        <is>
          <t>Jardinería</t>
        </is>
      </c>
      <c r="B7" s="4" t="n">
        <v>202978.02</v>
      </c>
      <c r="C7" s="4" t="n">
        <v>598608.01</v>
      </c>
      <c r="D7" s="4" t="n">
        <v>2782336.05</v>
      </c>
      <c r="E7" s="4" t="n">
        <v>241783.7</v>
      </c>
      <c r="F7" s="4" t="n">
        <v>3825705.78</v>
      </c>
    </row>
    <row r="8">
      <c r="A8" t="inlineStr">
        <is>
          <t>Pinturas</t>
        </is>
      </c>
      <c r="B8" s="4" t="n">
        <v>986327.09</v>
      </c>
      <c r="C8" s="4" t="n">
        <v>2348606.86</v>
      </c>
      <c r="D8" s="4" t="n">
        <v>11394863.56</v>
      </c>
      <c r="E8" s="4" t="n">
        <v>951472.6</v>
      </c>
      <c r="F8" s="4" t="n">
        <v>15681270.11</v>
      </c>
    </row>
    <row r="9">
      <c r="A9" t="inlineStr">
        <is>
          <t>Plomería</t>
        </is>
      </c>
      <c r="B9" s="4" t="n">
        <v>975330.9399999999</v>
      </c>
      <c r="C9" s="4" t="n">
        <v>2258701.58</v>
      </c>
      <c r="D9" s="4" t="n">
        <v>11146986.45</v>
      </c>
      <c r="E9" s="4" t="n">
        <v>861099.7</v>
      </c>
      <c r="F9" s="4" t="n">
        <v>15242118.67</v>
      </c>
    </row>
    <row r="10">
      <c r="A10" t="inlineStr">
        <is>
          <t>Seguridad</t>
        </is>
      </c>
      <c r="B10" s="4" t="n">
        <v>95267.96000000001</v>
      </c>
      <c r="C10" s="4" t="n">
        <v>194098.98</v>
      </c>
      <c r="D10" s="4" t="n">
        <v>1100412.25</v>
      </c>
      <c r="E10" s="4" t="n">
        <v>74315.39999999999</v>
      </c>
      <c r="F10" s="4" t="n">
        <v>1464094.59</v>
      </c>
    </row>
    <row r="11">
      <c r="A11" t="inlineStr">
        <is>
          <t>Tornillería</t>
        </is>
      </c>
      <c r="B11" s="4" t="n">
        <v>465760.4</v>
      </c>
      <c r="C11" s="4" t="n">
        <v>1101856.07</v>
      </c>
      <c r="D11" s="4" t="n">
        <v>5493826.54</v>
      </c>
      <c r="E11" s="4" t="n">
        <v>440656.5</v>
      </c>
      <c r="F11" s="4" t="n">
        <v>7502099.51</v>
      </c>
    </row>
    <row r="12">
      <c r="A12" t="inlineStr">
        <is>
          <t>Total</t>
        </is>
      </c>
      <c r="B12" s="4" t="n">
        <v>8040151.49</v>
      </c>
      <c r="C12" s="4" t="n">
        <v>19189485.04</v>
      </c>
      <c r="D12" s="4" t="n">
        <v>96302051.84</v>
      </c>
      <c r="E12" s="4" t="n">
        <v>8793543.439999999</v>
      </c>
      <c r="F12" s="4" t="n">
        <v>132325231.81</v>
      </c>
    </row>
  </sheetData>
  <autoFilter ref="A2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1" customWidth="1" min="9" max="9"/>
    <col width="13" customWidth="1" min="10" max="10"/>
  </cols>
  <sheetData>
    <row r="1">
      <c r="A1" s="2" t="inlineStr">
        <is>
          <t>Mensual x Categoría</t>
        </is>
      </c>
    </row>
    <row r="2">
      <c r="A2" s="8" t="inlineStr">
        <is>
          <t>anio_mes</t>
        </is>
      </c>
      <c r="B2" s="8" t="inlineStr">
        <is>
          <t>Construcción</t>
        </is>
      </c>
      <c r="C2" s="8" t="inlineStr">
        <is>
          <t>Eléctrico</t>
        </is>
      </c>
      <c r="D2" s="8" t="inlineStr">
        <is>
          <t>Herramientas</t>
        </is>
      </c>
      <c r="E2" s="8" t="inlineStr">
        <is>
          <t>Impermeabilizantes</t>
        </is>
      </c>
      <c r="F2" s="8" t="inlineStr">
        <is>
          <t>Jardinería</t>
        </is>
      </c>
      <c r="G2" s="8" t="inlineStr">
        <is>
          <t>Pinturas</t>
        </is>
      </c>
      <c r="H2" s="8" t="inlineStr">
        <is>
          <t>Plomería</t>
        </is>
      </c>
      <c r="I2" s="8" t="inlineStr">
        <is>
          <t>Seguridad</t>
        </is>
      </c>
      <c r="J2" s="8" t="inlineStr">
        <is>
          <t>Tornillería</t>
        </is>
      </c>
    </row>
    <row r="3">
      <c r="A3" t="inlineStr">
        <is>
          <t>2024-07</t>
        </is>
      </c>
      <c r="B3" s="4" t="n">
        <v>737630.03</v>
      </c>
      <c r="C3" s="4" t="n">
        <v>935354.99</v>
      </c>
      <c r="D3" s="4" t="n">
        <v>872615.84</v>
      </c>
      <c r="E3" s="4" t="n">
        <v>679164.99</v>
      </c>
      <c r="F3" s="4" t="n">
        <v>199176.41</v>
      </c>
      <c r="G3" s="4" t="n">
        <v>431847.77</v>
      </c>
      <c r="H3" s="4" t="n">
        <v>877908.97</v>
      </c>
      <c r="I3" s="4" t="n">
        <v>66404.94</v>
      </c>
      <c r="J3" s="4" t="n">
        <v>303871.69</v>
      </c>
    </row>
    <row r="4">
      <c r="A4" t="inlineStr">
        <is>
          <t>2024-08</t>
        </is>
      </c>
      <c r="B4" s="4" t="n">
        <v>729319.53</v>
      </c>
      <c r="C4" s="4" t="n">
        <v>983608.62</v>
      </c>
      <c r="D4" s="4" t="n">
        <v>740886.08</v>
      </c>
      <c r="E4" s="4" t="n">
        <v>753381.39</v>
      </c>
      <c r="F4" s="4" t="n">
        <v>224968.06</v>
      </c>
      <c r="G4" s="4" t="n">
        <v>464036.65</v>
      </c>
      <c r="H4" s="4" t="n">
        <v>963455.74</v>
      </c>
      <c r="I4" s="4" t="n">
        <v>68445.78</v>
      </c>
      <c r="J4" s="4" t="n">
        <v>293770.42</v>
      </c>
    </row>
    <row r="5">
      <c r="A5" t="inlineStr">
        <is>
          <t>2024-09</t>
        </is>
      </c>
      <c r="B5" s="4" t="n">
        <v>648177.41</v>
      </c>
      <c r="C5" s="4" t="n">
        <v>844954.8199999999</v>
      </c>
      <c r="D5" s="4" t="n">
        <v>856156.37</v>
      </c>
      <c r="E5" s="4" t="n">
        <v>253083.99</v>
      </c>
      <c r="F5" s="4" t="n">
        <v>228090.5</v>
      </c>
      <c r="G5" s="4" t="n">
        <v>467864.52</v>
      </c>
      <c r="H5" s="4" t="n">
        <v>806373.29</v>
      </c>
      <c r="I5" s="4" t="n">
        <v>66751.28</v>
      </c>
      <c r="J5" s="4" t="n">
        <v>302486.89</v>
      </c>
    </row>
    <row r="6">
      <c r="A6" t="inlineStr">
        <is>
          <t>2024-10</t>
        </is>
      </c>
      <c r="B6" s="4" t="n">
        <v>773039.26</v>
      </c>
      <c r="C6" s="4" t="n">
        <v>1086613.41</v>
      </c>
      <c r="D6" s="4" t="n">
        <v>926642.08</v>
      </c>
      <c r="E6" s="4" t="n">
        <v>348012.23</v>
      </c>
      <c r="F6" s="4" t="n">
        <v>131248.02</v>
      </c>
      <c r="G6" s="4" t="n">
        <v>645492.24</v>
      </c>
      <c r="H6" s="4" t="n">
        <v>561825.63</v>
      </c>
      <c r="I6" s="4" t="n">
        <v>72690.67999999999</v>
      </c>
      <c r="J6" s="4" t="n">
        <v>328288.81</v>
      </c>
    </row>
    <row r="7">
      <c r="A7" t="inlineStr">
        <is>
          <t>2024-11</t>
        </is>
      </c>
      <c r="B7" s="4" t="n">
        <v>1119264.89</v>
      </c>
      <c r="C7" s="4" t="n">
        <v>999280.85</v>
      </c>
      <c r="D7" s="4" t="n">
        <v>1060246.56</v>
      </c>
      <c r="E7" s="4" t="n">
        <v>291636.69</v>
      </c>
      <c r="F7" s="4" t="n">
        <v>105902.91</v>
      </c>
      <c r="G7" s="4" t="n">
        <v>700729.28</v>
      </c>
      <c r="H7" s="4" t="n">
        <v>516723.86</v>
      </c>
      <c r="I7" s="4" t="n">
        <v>44078.17</v>
      </c>
      <c r="J7" s="4" t="n">
        <v>318523.26</v>
      </c>
    </row>
    <row r="8">
      <c r="A8" t="inlineStr">
        <is>
          <t>2024-12</t>
        </is>
      </c>
      <c r="B8" s="4" t="n">
        <v>1115725.7</v>
      </c>
      <c r="C8" s="4" t="n">
        <v>804921.29</v>
      </c>
      <c r="D8" s="4" t="n">
        <v>1682659.04</v>
      </c>
      <c r="E8" s="4" t="n">
        <v>368185.56</v>
      </c>
      <c r="F8" s="4" t="n">
        <v>146972.8</v>
      </c>
      <c r="G8" s="4" t="n">
        <v>687416.46</v>
      </c>
      <c r="H8" s="4" t="n">
        <v>473753.71</v>
      </c>
      <c r="I8" s="4" t="n">
        <v>54300.07</v>
      </c>
      <c r="J8" s="4" t="n">
        <v>289192.24</v>
      </c>
    </row>
    <row r="9">
      <c r="A9" t="inlineStr">
        <is>
          <t>2025-01</t>
        </is>
      </c>
      <c r="B9" s="4" t="n">
        <v>1143472.47</v>
      </c>
      <c r="C9" s="4" t="n">
        <v>1059194.13</v>
      </c>
      <c r="D9" s="4" t="n">
        <v>829807.91</v>
      </c>
      <c r="E9" s="4" t="n">
        <v>399976.72</v>
      </c>
      <c r="F9" s="4" t="n">
        <v>141392.95</v>
      </c>
      <c r="G9" s="4" t="n">
        <v>831798.64</v>
      </c>
      <c r="H9" s="4" t="n">
        <v>527077.1</v>
      </c>
      <c r="I9" s="4" t="n">
        <v>59616.93</v>
      </c>
      <c r="J9" s="4" t="n">
        <v>315221.01</v>
      </c>
    </row>
    <row r="10">
      <c r="A10" t="inlineStr">
        <is>
          <t>2025-02</t>
        </is>
      </c>
      <c r="B10" s="4" t="n">
        <v>1018222.43</v>
      </c>
      <c r="C10" s="4" t="n">
        <v>959201.65</v>
      </c>
      <c r="D10" s="4" t="n">
        <v>784635.92</v>
      </c>
      <c r="E10" s="4" t="n">
        <v>303719.68</v>
      </c>
      <c r="F10" s="4" t="n">
        <v>93434.52</v>
      </c>
      <c r="G10" s="4" t="n">
        <v>613824.67</v>
      </c>
      <c r="H10" s="4" t="n">
        <v>448626.34</v>
      </c>
      <c r="I10" s="4" t="n">
        <v>42673.57</v>
      </c>
      <c r="J10" s="4" t="n">
        <v>280762.79</v>
      </c>
    </row>
    <row r="11">
      <c r="A11" t="inlineStr">
        <is>
          <t>2025-03</t>
        </is>
      </c>
      <c r="B11" s="4" t="n">
        <v>1221540.41</v>
      </c>
      <c r="C11" s="4" t="n">
        <v>882992.08</v>
      </c>
      <c r="D11" s="4" t="n">
        <v>908797.25</v>
      </c>
      <c r="E11" s="4" t="n">
        <v>351664.02</v>
      </c>
      <c r="F11" s="4" t="n">
        <v>127827.52</v>
      </c>
      <c r="G11" s="4" t="n">
        <v>774478.99</v>
      </c>
      <c r="H11" s="4" t="n">
        <v>491948.48</v>
      </c>
      <c r="I11" s="4" t="n">
        <v>53302.18</v>
      </c>
      <c r="J11" s="4" t="n">
        <v>327861.74</v>
      </c>
    </row>
    <row r="12">
      <c r="A12" t="inlineStr">
        <is>
          <t>2025-04</t>
        </is>
      </c>
      <c r="B12" s="4" t="n">
        <v>1060729.81</v>
      </c>
      <c r="C12" s="4" t="n">
        <v>903631.8100000001</v>
      </c>
      <c r="D12" s="4" t="n">
        <v>839075.9300000001</v>
      </c>
      <c r="E12" s="4" t="n">
        <v>1505523.26</v>
      </c>
      <c r="F12" s="4" t="n">
        <v>114118.66</v>
      </c>
      <c r="G12" s="4" t="n">
        <v>779389.13</v>
      </c>
      <c r="H12" s="4" t="n">
        <v>443616.54</v>
      </c>
      <c r="I12" s="4" t="n">
        <v>58109.06</v>
      </c>
      <c r="J12" s="4" t="n">
        <v>308663.57</v>
      </c>
    </row>
    <row r="13">
      <c r="A13" t="inlineStr">
        <is>
          <t>2025-05</t>
        </is>
      </c>
      <c r="B13" s="4" t="n">
        <v>1086252.5</v>
      </c>
      <c r="C13" s="4" t="n">
        <v>916543.23</v>
      </c>
      <c r="D13" s="4" t="n">
        <v>954487.49</v>
      </c>
      <c r="E13" s="4" t="n">
        <v>1493576.07</v>
      </c>
      <c r="F13" s="4" t="n">
        <v>96967.13</v>
      </c>
      <c r="G13" s="4" t="n">
        <v>811760.25</v>
      </c>
      <c r="H13" s="4" t="n">
        <v>439426.07</v>
      </c>
      <c r="I13" s="4" t="n">
        <v>58128.92</v>
      </c>
      <c r="J13" s="4" t="n">
        <v>305911.95</v>
      </c>
    </row>
    <row r="14">
      <c r="A14" t="inlineStr">
        <is>
          <t>2025-06</t>
        </is>
      </c>
      <c r="B14" s="4" t="n">
        <v>575847.52</v>
      </c>
      <c r="C14" s="4" t="n">
        <v>944436.51</v>
      </c>
      <c r="D14" s="4" t="n">
        <v>846446.16</v>
      </c>
      <c r="E14" s="4" t="n">
        <v>1374647.17</v>
      </c>
      <c r="F14" s="4" t="n">
        <v>265047.6</v>
      </c>
      <c r="G14" s="4" t="n">
        <v>423161.82</v>
      </c>
      <c r="H14" s="4" t="n">
        <v>859124.74</v>
      </c>
      <c r="I14" s="4" t="n">
        <v>62628.79</v>
      </c>
      <c r="J14" s="4" t="n">
        <v>273178.86</v>
      </c>
    </row>
    <row r="15">
      <c r="A15" t="inlineStr">
        <is>
          <t>2025-07</t>
        </is>
      </c>
      <c r="B15" s="4" t="n">
        <v>633134.5600000001</v>
      </c>
      <c r="C15" s="4" t="n">
        <v>1171708.54</v>
      </c>
      <c r="D15" s="4" t="n">
        <v>854121.74</v>
      </c>
      <c r="E15" s="4" t="n">
        <v>797102.55</v>
      </c>
      <c r="F15" s="4" t="n">
        <v>215640.3</v>
      </c>
      <c r="G15" s="4" t="n">
        <v>523660.45</v>
      </c>
      <c r="H15" s="4" t="n">
        <v>875911.04</v>
      </c>
      <c r="I15" s="4" t="n">
        <v>59078.33</v>
      </c>
      <c r="J15" s="4" t="n">
        <v>301824.37</v>
      </c>
    </row>
    <row r="16">
      <c r="A16" t="inlineStr">
        <is>
          <t>2025-08</t>
        </is>
      </c>
      <c r="B16" s="4" t="n">
        <v>1393998.24</v>
      </c>
      <c r="C16" s="4" t="n">
        <v>906620.83</v>
      </c>
      <c r="D16" s="4" t="n">
        <v>826585.46</v>
      </c>
      <c r="E16" s="4" t="n">
        <v>622658.95</v>
      </c>
      <c r="F16" s="4" t="n">
        <v>275493.71</v>
      </c>
      <c r="G16" s="4" t="n">
        <v>484072.73</v>
      </c>
      <c r="H16" s="4" t="n">
        <v>927910.52</v>
      </c>
      <c r="I16" s="4" t="n">
        <v>61281.09</v>
      </c>
      <c r="J16" s="4" t="n">
        <v>290951.46</v>
      </c>
    </row>
    <row r="17">
      <c r="A17" t="inlineStr">
        <is>
          <t>2025-09</t>
        </is>
      </c>
      <c r="B17" s="4" t="n">
        <v>715475.1</v>
      </c>
      <c r="C17" s="4" t="n">
        <v>1082191.94</v>
      </c>
      <c r="D17" s="4" t="n">
        <v>883328.58</v>
      </c>
      <c r="E17" s="4" t="n">
        <v>339832.24</v>
      </c>
      <c r="F17" s="4" t="n">
        <v>228326.51</v>
      </c>
      <c r="G17" s="4" t="n">
        <v>489629.85</v>
      </c>
      <c r="H17" s="4" t="n">
        <v>934900.47</v>
      </c>
      <c r="I17" s="4" t="n">
        <v>57863.48</v>
      </c>
      <c r="J17" s="4" t="n">
        <v>318150.56</v>
      </c>
    </row>
    <row r="18">
      <c r="A18" t="inlineStr">
        <is>
          <t>2025-10</t>
        </is>
      </c>
      <c r="B18" s="4" t="n">
        <v>836514.3</v>
      </c>
      <c r="C18" s="4" t="n">
        <v>1100674.69</v>
      </c>
      <c r="D18" s="4" t="n">
        <v>912505.78</v>
      </c>
      <c r="E18" s="4" t="n">
        <v>392006.85</v>
      </c>
      <c r="F18" s="4" t="n">
        <v>137227.44</v>
      </c>
      <c r="G18" s="4" t="n">
        <v>577114.87</v>
      </c>
      <c r="H18" s="4" t="n">
        <v>604561.27</v>
      </c>
      <c r="I18" s="4" t="n">
        <v>79290.50999999999</v>
      </c>
      <c r="J18" s="4" t="n">
        <v>373996.75</v>
      </c>
    </row>
    <row r="19">
      <c r="A19" t="inlineStr">
        <is>
          <t>2025-11</t>
        </is>
      </c>
      <c r="B19" s="4" t="n">
        <v>1094912.56</v>
      </c>
      <c r="C19" s="4" t="n">
        <v>1051054.72</v>
      </c>
      <c r="D19" s="4" t="n">
        <v>1218315</v>
      </c>
      <c r="E19" s="4" t="n">
        <v>357079.42</v>
      </c>
      <c r="F19" s="4" t="n">
        <v>117265.42</v>
      </c>
      <c r="G19" s="4" t="n">
        <v>701594.38</v>
      </c>
      <c r="H19" s="4" t="n">
        <v>538409.87</v>
      </c>
      <c r="I19" s="4" t="n">
        <v>71095.49000000001</v>
      </c>
      <c r="J19" s="4" t="n">
        <v>323056.61</v>
      </c>
    </row>
    <row r="20">
      <c r="A20" t="inlineStr">
        <is>
          <t>2025-12</t>
        </is>
      </c>
      <c r="B20" s="4" t="n">
        <v>1181666.85</v>
      </c>
      <c r="C20" s="4" t="n">
        <v>1076718.66</v>
      </c>
      <c r="D20" s="4" t="n">
        <v>1679725.88</v>
      </c>
      <c r="E20" s="4" t="n">
        <v>268083.46</v>
      </c>
      <c r="F20" s="4" t="n">
        <v>120955.29</v>
      </c>
      <c r="G20" s="4" t="n">
        <v>733940.72</v>
      </c>
      <c r="H20" s="4" t="n">
        <v>453743.36</v>
      </c>
      <c r="I20" s="4" t="n">
        <v>57977.91</v>
      </c>
      <c r="J20" s="4" t="n">
        <v>325775.95</v>
      </c>
    </row>
    <row r="21">
      <c r="A21" t="inlineStr">
        <is>
          <t>2026-01</t>
        </is>
      </c>
      <c r="B21" s="4" t="n">
        <v>1104697.63</v>
      </c>
      <c r="C21" s="4" t="n">
        <v>1108778.63</v>
      </c>
      <c r="D21" s="4" t="n">
        <v>1022204.41</v>
      </c>
      <c r="E21" s="4" t="n">
        <v>414893.28</v>
      </c>
      <c r="F21" s="4" t="n">
        <v>132445.24</v>
      </c>
      <c r="G21" s="4" t="n">
        <v>900059.01</v>
      </c>
      <c r="H21" s="4" t="n">
        <v>537845.65</v>
      </c>
      <c r="I21" s="4" t="n">
        <v>77459.42999999999</v>
      </c>
      <c r="J21" s="4" t="n">
        <v>367233.54</v>
      </c>
    </row>
    <row r="22">
      <c r="A22" t="inlineStr">
        <is>
          <t>2026-02</t>
        </is>
      </c>
      <c r="B22" s="4" t="n">
        <v>1163958.07</v>
      </c>
      <c r="C22" s="4" t="n">
        <v>999323.2</v>
      </c>
      <c r="D22" s="4" t="n">
        <v>899243.14</v>
      </c>
      <c r="E22" s="4" t="n">
        <v>330159.6</v>
      </c>
      <c r="F22" s="4" t="n">
        <v>110225.19</v>
      </c>
      <c r="G22" s="4" t="n">
        <v>746099.52</v>
      </c>
      <c r="H22" s="4" t="n">
        <v>435717.11</v>
      </c>
      <c r="I22" s="4" t="n">
        <v>61820.04</v>
      </c>
      <c r="J22" s="4" t="n">
        <v>282474.87</v>
      </c>
    </row>
    <row r="23">
      <c r="A23" t="inlineStr">
        <is>
          <t>2026-03</t>
        </is>
      </c>
      <c r="B23" s="4" t="n">
        <v>1220883.45</v>
      </c>
      <c r="C23" s="4" t="n">
        <v>1033627.19</v>
      </c>
      <c r="D23" s="4" t="n">
        <v>963278.4</v>
      </c>
      <c r="E23" s="4" t="n">
        <v>424977.59</v>
      </c>
      <c r="F23" s="4" t="n">
        <v>121467.78</v>
      </c>
      <c r="G23" s="4" t="n">
        <v>836127.41</v>
      </c>
      <c r="H23" s="4" t="n">
        <v>563753.53</v>
      </c>
      <c r="I23" s="4" t="n">
        <v>54576.12</v>
      </c>
      <c r="J23" s="4" t="n">
        <v>353765.5</v>
      </c>
    </row>
    <row r="24">
      <c r="A24" t="inlineStr">
        <is>
          <t>2026-04</t>
        </is>
      </c>
      <c r="B24" s="4" t="n">
        <v>1147033.15</v>
      </c>
      <c r="C24" s="4" t="n">
        <v>1115786.87</v>
      </c>
      <c r="D24" s="4" t="n">
        <v>863173.23</v>
      </c>
      <c r="E24" s="4" t="n">
        <v>1687025.22</v>
      </c>
      <c r="F24" s="4" t="n">
        <v>127988.31</v>
      </c>
      <c r="G24" s="4" t="n">
        <v>788636.38</v>
      </c>
      <c r="H24" s="4" t="n">
        <v>464982.69</v>
      </c>
      <c r="I24" s="4" t="n">
        <v>62757.4</v>
      </c>
      <c r="J24" s="4" t="n">
        <v>305858.03</v>
      </c>
    </row>
    <row r="25">
      <c r="A25" t="inlineStr">
        <is>
          <t>2026-05</t>
        </is>
      </c>
      <c r="B25" s="4" t="n">
        <v>2047656.57</v>
      </c>
      <c r="C25" s="4" t="n">
        <v>1074694.8</v>
      </c>
      <c r="D25" s="4" t="n">
        <v>930943.66</v>
      </c>
      <c r="E25" s="4" t="n">
        <v>1789833.21</v>
      </c>
      <c r="F25" s="4" t="n">
        <v>114415.12</v>
      </c>
      <c r="G25" s="4" t="n">
        <v>808715.8</v>
      </c>
      <c r="H25" s="4" t="n">
        <v>493143.55</v>
      </c>
      <c r="I25" s="4" t="n">
        <v>71905.96000000001</v>
      </c>
      <c r="J25" s="4" t="n">
        <v>332373.1</v>
      </c>
    </row>
    <row r="26">
      <c r="A26" t="inlineStr">
        <is>
          <t>2026-06</t>
        </is>
      </c>
      <c r="B26" s="4" t="n">
        <v>635759.5699999999</v>
      </c>
      <c r="C26" s="4" t="n">
        <v>848336.89</v>
      </c>
      <c r="D26" s="4" t="n">
        <v>887400.5699999999</v>
      </c>
      <c r="E26" s="4" t="n">
        <v>1525274.17</v>
      </c>
      <c r="F26" s="4" t="n">
        <v>249108.39</v>
      </c>
      <c r="G26" s="4" t="n">
        <v>459818.57</v>
      </c>
      <c r="H26" s="4" t="n">
        <v>1001379.14</v>
      </c>
      <c r="I26" s="4" t="n">
        <v>41858.46</v>
      </c>
      <c r="J26" s="4" t="n">
        <v>278905.54</v>
      </c>
    </row>
  </sheetData>
  <autoFilter ref="A2:J26"/>
  <conditionalFormatting sqref="B3:J26">
    <cfRule type="colorScale" priority="1">
      <colorScale>
        <cfvo type="min"/>
        <cfvo type="max"/>
        <color rgb="00FFFFFF"/>
        <color rgb="002A78D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</cols>
  <sheetData>
    <row r="1">
      <c r="A1" s="2" t="inlineStr">
        <is>
          <t>Canales</t>
        </is>
      </c>
    </row>
    <row r="2">
      <c r="A2" s="8" t="inlineStr">
        <is>
          <t>canal</t>
        </is>
      </c>
      <c r="B2" s="8" t="inlineStr">
        <is>
          <t>ene_jun_2025</t>
        </is>
      </c>
      <c r="C2" s="8" t="inlineStr">
        <is>
          <t>ene_jun_2026</t>
        </is>
      </c>
      <c r="D2" s="8" t="inlineStr">
        <is>
          <t>crecimiento_pct</t>
        </is>
      </c>
    </row>
    <row r="3">
      <c r="A3" t="inlineStr">
        <is>
          <t>WhatsApp</t>
        </is>
      </c>
      <c r="B3" s="4" t="n">
        <v>1773810.6</v>
      </c>
      <c r="C3" s="4" t="n">
        <v>2994031.94</v>
      </c>
      <c r="D3" t="n">
        <v>68.79000000000001</v>
      </c>
    </row>
    <row r="4">
      <c r="A4" t="inlineStr">
        <is>
          <t>Mercado Libre</t>
        </is>
      </c>
      <c r="B4" s="4" t="n">
        <v>4683180.11</v>
      </c>
      <c r="C4" s="4" t="n">
        <v>5871647.93</v>
      </c>
      <c r="D4" t="n">
        <v>25.38</v>
      </c>
    </row>
    <row r="5">
      <c r="A5" t="inlineStr">
        <is>
          <t>Amazon</t>
        </is>
      </c>
      <c r="B5" s="4" t="n">
        <v>1954763.75</v>
      </c>
      <c r="C5" s="4" t="n">
        <v>2411363.4</v>
      </c>
      <c r="D5" t="n">
        <v>23.36</v>
      </c>
    </row>
    <row r="6">
      <c r="A6" t="inlineStr">
        <is>
          <t>Mostrador</t>
        </is>
      </c>
      <c r="B6" s="4" t="n">
        <v>24381748.19</v>
      </c>
      <c r="C6" s="4" t="n">
        <v>25144815.61</v>
      </c>
      <c r="D6" t="n">
        <v>3.13</v>
      </c>
    </row>
  </sheetData>
  <autoFilter ref="A2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10" customWidth="1" min="4" max="4"/>
    <col width="14" customWidth="1" min="5" max="5"/>
    <col width="16" customWidth="1" min="6" max="6"/>
    <col width="12" customWidth="1" min="7" max="7"/>
  </cols>
  <sheetData>
    <row r="1">
      <c r="A1" s="2" t="inlineStr">
        <is>
          <t>Top productos</t>
        </is>
      </c>
    </row>
    <row r="2">
      <c r="A2" s="8" t="inlineStr">
        <is>
          <t>sku</t>
        </is>
      </c>
      <c r="B2" s="8" t="inlineStr">
        <is>
          <t>descripcion</t>
        </is>
      </c>
      <c r="C2" s="8" t="inlineStr">
        <is>
          <t>categoria</t>
        </is>
      </c>
      <c r="D2" s="8" t="inlineStr">
        <is>
          <t>unidades</t>
        </is>
      </c>
      <c r="E2" s="8" t="inlineStr">
        <is>
          <t>ventas_netas</t>
        </is>
      </c>
      <c r="F2" s="8" t="inlineStr">
        <is>
          <t>utilidad_bruta</t>
        </is>
      </c>
      <c r="G2" s="8" t="inlineStr">
        <is>
          <t>margen_pct</t>
        </is>
      </c>
    </row>
    <row r="3">
      <c r="A3" t="inlineStr">
        <is>
          <t>HER-0036</t>
        </is>
      </c>
      <c r="B3" t="inlineStr">
        <is>
          <t>Flexómetro Truper 1/2"</t>
        </is>
      </c>
      <c r="C3" t="inlineStr">
        <is>
          <t>Herramientas</t>
        </is>
      </c>
      <c r="D3" t="n">
        <v>1181</v>
      </c>
      <c r="E3" s="4" t="n">
        <v>3989129.6</v>
      </c>
      <c r="F3" s="4" t="n">
        <v>990109.48</v>
      </c>
      <c r="G3" t="n">
        <v>24.82</v>
      </c>
    </row>
    <row r="4">
      <c r="A4" t="inlineStr">
        <is>
          <t>CON-0004</t>
        </is>
      </c>
      <c r="B4" t="inlineStr">
        <is>
          <t>Malla electrosoldada Deacero 3/8"</t>
        </is>
      </c>
      <c r="C4" t="inlineStr">
        <is>
          <t>Construcción</t>
        </is>
      </c>
      <c r="D4" t="n">
        <v>4270</v>
      </c>
      <c r="E4" s="4" t="n">
        <v>2938484.18</v>
      </c>
      <c r="F4" s="4" t="n">
        <v>528135.78</v>
      </c>
      <c r="G4" t="n">
        <v>17.97</v>
      </c>
    </row>
    <row r="5">
      <c r="A5" t="inlineStr">
        <is>
          <t>ELE-0025</t>
        </is>
      </c>
      <c r="B5" t="inlineStr">
        <is>
          <t>Tubo conduit Bticino cal. 14</t>
        </is>
      </c>
      <c r="C5" t="inlineStr">
        <is>
          <t>Eléctrico</t>
        </is>
      </c>
      <c r="D5" t="n">
        <v>3650</v>
      </c>
      <c r="E5" s="4" t="n">
        <v>1934460.65</v>
      </c>
      <c r="F5" s="4" t="n">
        <v>512369.74</v>
      </c>
      <c r="G5" t="n">
        <v>26.49</v>
      </c>
    </row>
    <row r="6">
      <c r="A6" t="inlineStr">
        <is>
          <t>ELE-0024</t>
        </is>
      </c>
      <c r="B6" t="inlineStr">
        <is>
          <t>Lámpara LED Argos cal. 14</t>
        </is>
      </c>
      <c r="C6" t="inlineStr">
        <is>
          <t>Eléctrico</t>
        </is>
      </c>
      <c r="D6" t="n">
        <v>1150</v>
      </c>
      <c r="E6" s="4" t="n">
        <v>1842157.55</v>
      </c>
      <c r="F6" s="4" t="n">
        <v>459838.94</v>
      </c>
      <c r="G6" t="n">
        <v>24.96</v>
      </c>
    </row>
    <row r="7">
      <c r="A7" t="inlineStr">
        <is>
          <t>ELE-0005</t>
        </is>
      </c>
      <c r="B7" t="inlineStr">
        <is>
          <t>Cable THW Bticino cal. 12</t>
        </is>
      </c>
      <c r="C7" t="inlineStr">
        <is>
          <t>Eléctrico</t>
        </is>
      </c>
      <c r="D7" t="n">
        <v>1396</v>
      </c>
      <c r="E7" s="4" t="n">
        <v>2030146.4</v>
      </c>
      <c r="F7" s="4" t="n">
        <v>426487.61</v>
      </c>
      <c r="G7" t="n">
        <v>21.01</v>
      </c>
    </row>
    <row r="8">
      <c r="A8" t="inlineStr">
        <is>
          <t>ELE-0006</t>
        </is>
      </c>
      <c r="B8" t="inlineStr">
        <is>
          <t>Cable THW Argos cal. 12</t>
        </is>
      </c>
      <c r="C8" t="inlineStr">
        <is>
          <t>Eléctrico</t>
        </is>
      </c>
      <c r="D8" t="n">
        <v>2046</v>
      </c>
      <c r="E8" s="4" t="n">
        <v>1832776.41</v>
      </c>
      <c r="F8" s="4" t="n">
        <v>357114.9</v>
      </c>
      <c r="G8" t="n">
        <v>19.48</v>
      </c>
    </row>
    <row r="9">
      <c r="A9" t="inlineStr">
        <is>
          <t>CON-0019</t>
        </is>
      </c>
      <c r="B9" t="inlineStr">
        <is>
          <t>Yeso Cruz Azul</t>
        </is>
      </c>
      <c r="C9" t="inlineStr">
        <is>
          <t>Construcción</t>
        </is>
      </c>
      <c r="D9" t="n">
        <v>3097</v>
      </c>
      <c r="E9" s="4" t="n">
        <v>2050707.81</v>
      </c>
      <c r="F9" s="4" t="n">
        <v>355814.02</v>
      </c>
      <c r="G9" t="n">
        <v>17.35</v>
      </c>
    </row>
    <row r="10">
      <c r="A10" t="inlineStr">
        <is>
          <t>PLO-0036</t>
        </is>
      </c>
      <c r="B10" t="inlineStr">
        <is>
          <t>Tubo PVC Foset 2"</t>
        </is>
      </c>
      <c r="C10" t="inlineStr">
        <is>
          <t>Plomería</t>
        </is>
      </c>
      <c r="D10" t="n">
        <v>1356</v>
      </c>
      <c r="E10" s="4" t="n">
        <v>1154133.88</v>
      </c>
      <c r="F10" s="4" t="n">
        <v>318715.94</v>
      </c>
      <c r="G10" t="n">
        <v>27.62</v>
      </c>
    </row>
    <row r="11">
      <c r="A11" t="inlineStr">
        <is>
          <t>PIN-0031</t>
        </is>
      </c>
      <c r="B11" t="inlineStr">
        <is>
          <t>Brocha Comex 4"</t>
        </is>
      </c>
      <c r="C11" t="inlineStr">
        <is>
          <t>Pinturas</t>
        </is>
      </c>
      <c r="D11" t="n">
        <v>1111</v>
      </c>
      <c r="E11" s="4" t="n">
        <v>1144044.92</v>
      </c>
      <c r="F11" s="4" t="n">
        <v>315716.11</v>
      </c>
      <c r="G11" t="n">
        <v>27.6</v>
      </c>
    </row>
    <row r="12">
      <c r="A12" t="inlineStr">
        <is>
          <t>IMP-0020</t>
        </is>
      </c>
      <c r="B12" t="inlineStr">
        <is>
          <t>Impermeabilizante 10 años Thermotek 19 L</t>
        </is>
      </c>
      <c r="C12" t="inlineStr">
        <is>
          <t>Impermeabilizantes</t>
        </is>
      </c>
      <c r="D12" t="n">
        <v>906</v>
      </c>
      <c r="E12" s="4" t="n">
        <v>1090668.95</v>
      </c>
      <c r="F12" s="4" t="n">
        <v>270912.39</v>
      </c>
      <c r="G12" t="n">
        <v>24.84</v>
      </c>
    </row>
    <row r="13">
      <c r="A13" t="inlineStr">
        <is>
          <t>PIN-0029</t>
        </is>
      </c>
      <c r="B13" t="inlineStr">
        <is>
          <t>Charola Pintumex 1 L</t>
        </is>
      </c>
      <c r="C13" t="inlineStr">
        <is>
          <t>Pinturas</t>
        </is>
      </c>
      <c r="D13" t="n">
        <v>737</v>
      </c>
      <c r="E13" s="4" t="n">
        <v>917790.62</v>
      </c>
      <c r="F13" s="4" t="n">
        <v>221552.72</v>
      </c>
      <c r="G13" t="n">
        <v>24.14</v>
      </c>
    </row>
    <row r="14">
      <c r="A14" t="inlineStr">
        <is>
          <t>HER-0034</t>
        </is>
      </c>
      <c r="B14" t="inlineStr">
        <is>
          <t>Flexómetro Pretul 1/2"</t>
        </is>
      </c>
      <c r="C14" t="inlineStr">
        <is>
          <t>Herramientas</t>
        </is>
      </c>
      <c r="D14" t="n">
        <v>566</v>
      </c>
      <c r="E14" s="4" t="n">
        <v>974578.36</v>
      </c>
      <c r="F14" s="4" t="n">
        <v>200769.08</v>
      </c>
      <c r="G14" t="n">
        <v>20.6</v>
      </c>
    </row>
    <row r="15">
      <c r="A15" t="inlineStr">
        <is>
          <t>IMP-0026</t>
        </is>
      </c>
      <c r="B15" t="inlineStr">
        <is>
          <t>Impermeabilizante 5 años Comex 4 L</t>
        </is>
      </c>
      <c r="C15" t="inlineStr">
        <is>
          <t>Impermeabilizantes</t>
        </is>
      </c>
      <c r="D15" t="n">
        <v>521</v>
      </c>
      <c r="E15" s="4" t="n">
        <v>1301439.3</v>
      </c>
      <c r="F15" s="4" t="n">
        <v>198947.22</v>
      </c>
      <c r="G15" t="n">
        <v>15.29</v>
      </c>
    </row>
    <row r="16">
      <c r="A16" t="inlineStr">
        <is>
          <t>PLO-0029</t>
        </is>
      </c>
      <c r="B16" t="inlineStr">
        <is>
          <t>Codo PVC Coflex 1"</t>
        </is>
      </c>
      <c r="C16" t="inlineStr">
        <is>
          <t>Plomería</t>
        </is>
      </c>
      <c r="D16" t="n">
        <v>970</v>
      </c>
      <c r="E16" s="4" t="n">
        <v>709595.87</v>
      </c>
      <c r="F16" s="4" t="n">
        <v>190919.58</v>
      </c>
      <c r="G16" t="n">
        <v>26.91</v>
      </c>
    </row>
    <row r="17">
      <c r="A17" t="inlineStr">
        <is>
          <t>HER-0012</t>
        </is>
      </c>
      <c r="B17" t="inlineStr">
        <is>
          <t>Llave Stilson Surtek 3/8"</t>
        </is>
      </c>
      <c r="C17" t="inlineStr">
        <is>
          <t>Herramientas</t>
        </is>
      </c>
      <c r="D17" t="n">
        <v>1012</v>
      </c>
      <c r="E17" s="4" t="n">
        <v>777904.5600000001</v>
      </c>
      <c r="F17" s="4" t="n">
        <v>183170.95</v>
      </c>
      <c r="G17" t="n">
        <v>23.55</v>
      </c>
    </row>
  </sheetData>
  <autoFilter ref="A2:G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</cols>
  <sheetData>
    <row r="1">
      <c r="A1" s="2" t="inlineStr">
        <is>
          <t>ABC</t>
        </is>
      </c>
    </row>
    <row r="2">
      <c r="A2" s="8" t="inlineStr">
        <is>
          <t>clase</t>
        </is>
      </c>
      <c r="B2" s="8" t="inlineStr">
        <is>
          <t>num_skus</t>
        </is>
      </c>
      <c r="C2" s="8" t="inlineStr">
        <is>
          <t>ventas</t>
        </is>
      </c>
      <c r="D2" s="8" t="inlineStr">
        <is>
          <t>pct_ventas</t>
        </is>
      </c>
    </row>
    <row r="3">
      <c r="A3" t="inlineStr">
        <is>
          <t>A</t>
        </is>
      </c>
      <c r="B3" t="n">
        <v>97</v>
      </c>
      <c r="C3" s="4" t="n">
        <v>55193961.79</v>
      </c>
      <c r="D3" s="4" t="n">
        <v>79.90000000000001</v>
      </c>
    </row>
    <row r="4">
      <c r="A4" t="inlineStr">
        <is>
          <t>B</t>
        </is>
      </c>
      <c r="B4" t="n">
        <v>96</v>
      </c>
      <c r="C4" s="4" t="n">
        <v>10402228.87</v>
      </c>
      <c r="D4" s="4" t="n">
        <v>15.06</v>
      </c>
    </row>
    <row r="5">
      <c r="A5" t="inlineStr">
        <is>
          <t>C</t>
        </is>
      </c>
      <c r="B5" t="n">
        <v>159</v>
      </c>
      <c r="C5" s="4" t="n">
        <v>3482385.83</v>
      </c>
      <c r="D5" s="4" t="n">
        <v>5.04</v>
      </c>
    </row>
  </sheetData>
  <autoFilter ref="A2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33" customWidth="1" min="3" max="3"/>
    <col width="14" customWidth="1" min="4" max="4"/>
    <col width="19" customWidth="1" min="5" max="5"/>
    <col width="14" customWidth="1" min="6" max="6"/>
    <col width="14" customWidth="1" min="7" max="7"/>
    <col width="16" customWidth="1" min="8" max="8"/>
    <col width="11" customWidth="1" min="9" max="9"/>
  </cols>
  <sheetData>
    <row r="1">
      <c r="A1" s="2" t="inlineStr">
        <is>
          <t>Reabastecimiento</t>
        </is>
      </c>
    </row>
    <row r="2">
      <c r="A2" s="8" t="inlineStr">
        <is>
          <t>sku</t>
        </is>
      </c>
      <c r="B2" s="8" t="inlineStr">
        <is>
          <t>descripcion</t>
        </is>
      </c>
      <c r="C2" s="8" t="inlineStr">
        <is>
          <t>proveedor</t>
        </is>
      </c>
      <c r="D2" s="8" t="inlineStr">
        <is>
          <t>dias_entrega</t>
        </is>
      </c>
      <c r="E2" s="8" t="inlineStr">
        <is>
          <t>existencia_fisica</t>
        </is>
      </c>
      <c r="F2" s="8" t="inlineStr">
        <is>
          <t>stock_minimo</t>
        </is>
      </c>
      <c r="G2" s="8" t="inlineStr">
        <is>
          <t>venta_diaria</t>
        </is>
      </c>
      <c r="H2" s="8" t="inlineStr">
        <is>
          <t>dias_cobertura</t>
        </is>
      </c>
      <c r="I2" s="8" t="inlineStr">
        <is>
          <t>prioridad</t>
        </is>
      </c>
    </row>
    <row r="3">
      <c r="A3" t="inlineStr">
        <is>
          <t>PLO-0024</t>
        </is>
      </c>
      <c r="B3" t="inlineStr">
        <is>
          <t>Regadera Rotoplas 2"</t>
        </is>
      </c>
      <c r="C3" t="inlineStr">
        <is>
          <t>Coflex Bajío</t>
        </is>
      </c>
      <c r="D3" t="n">
        <v>7</v>
      </c>
      <c r="E3" t="n">
        <v>0</v>
      </c>
      <c r="F3" t="n">
        <v>26</v>
      </c>
      <c r="G3" t="n">
        <v>0.16</v>
      </c>
      <c r="H3" t="n">
        <v>0</v>
      </c>
      <c r="I3" t="inlineStr">
        <is>
          <t>URGENTE</t>
        </is>
      </c>
    </row>
    <row r="4">
      <c r="A4" t="inlineStr">
        <is>
          <t>PIN-0001</t>
        </is>
      </c>
      <c r="B4" t="inlineStr">
        <is>
          <t>Thinner Pintumex 19 L</t>
        </is>
      </c>
      <c r="C4" t="inlineStr">
        <is>
          <t>Pinturas y Recubrimientos MX</t>
        </is>
      </c>
      <c r="D4" t="n">
        <v>6</v>
      </c>
      <c r="E4" t="n">
        <v>0</v>
      </c>
      <c r="F4" t="n">
        <v>3</v>
      </c>
      <c r="G4" t="n">
        <v>0.84</v>
      </c>
      <c r="H4" t="n">
        <v>0</v>
      </c>
      <c r="I4" t="inlineStr">
        <is>
          <t>URGENTE</t>
        </is>
      </c>
    </row>
    <row r="5">
      <c r="A5" t="inlineStr">
        <is>
          <t>JAR-0012</t>
        </is>
      </c>
      <c r="B5" t="inlineStr">
        <is>
          <t>Carretilla Pretul</t>
        </is>
      </c>
      <c r="C5" t="inlineStr">
        <is>
          <t>Distribuidora Truper Occidente</t>
        </is>
      </c>
      <c r="D5" t="n">
        <v>5</v>
      </c>
      <c r="E5" t="n">
        <v>0</v>
      </c>
      <c r="F5" t="n">
        <v>6</v>
      </c>
      <c r="G5" t="n">
        <v>1.14</v>
      </c>
      <c r="H5" t="n">
        <v>0</v>
      </c>
      <c r="I5" t="inlineStr">
        <is>
          <t>URGENTE</t>
        </is>
      </c>
    </row>
    <row r="6">
      <c r="A6" t="inlineStr">
        <is>
          <t>TOR-0058</t>
        </is>
      </c>
      <c r="B6" t="inlineStr">
        <is>
          <t>Rondana Fiero #8 x 1"</t>
        </is>
      </c>
      <c r="C6" t="inlineStr">
        <is>
          <t>Tornillos y Fijaciones SA</t>
        </is>
      </c>
      <c r="D6" t="n">
        <v>4</v>
      </c>
      <c r="E6" t="n">
        <v>2</v>
      </c>
      <c r="F6" t="n">
        <v>4</v>
      </c>
      <c r="G6" t="n">
        <v>3.27</v>
      </c>
      <c r="H6" t="n">
        <v>0.6</v>
      </c>
      <c r="I6" t="inlineStr">
        <is>
          <t>URGENTE</t>
        </is>
      </c>
    </row>
    <row r="7">
      <c r="A7" t="inlineStr">
        <is>
          <t>PLO-0017</t>
        </is>
      </c>
      <c r="B7" t="inlineStr">
        <is>
          <t>Tubo PVC Coflex 15 m</t>
        </is>
      </c>
      <c r="C7" t="inlineStr">
        <is>
          <t>Coflex Bajío</t>
        </is>
      </c>
      <c r="D7" t="n">
        <v>7</v>
      </c>
      <c r="E7" t="n">
        <v>3</v>
      </c>
      <c r="F7" t="n">
        <v>4</v>
      </c>
      <c r="G7" t="n">
        <v>3.66</v>
      </c>
      <c r="H7" t="n">
        <v>0.8</v>
      </c>
      <c r="I7" t="inlineStr">
        <is>
          <t>URGENTE</t>
        </is>
      </c>
    </row>
    <row r="8">
      <c r="A8" t="inlineStr">
        <is>
          <t>TOR-0035</t>
        </is>
      </c>
      <c r="B8" t="inlineStr">
        <is>
          <t>Clavo Fischer 1/4"</t>
        </is>
      </c>
      <c r="C8" t="inlineStr">
        <is>
          <t>Tornillos y Fijaciones SA</t>
        </is>
      </c>
      <c r="D8" t="n">
        <v>4</v>
      </c>
      <c r="E8" t="n">
        <v>3</v>
      </c>
      <c r="F8" t="n">
        <v>5</v>
      </c>
      <c r="G8" t="n">
        <v>3.11</v>
      </c>
      <c r="H8" t="n">
        <v>1</v>
      </c>
      <c r="I8" t="inlineStr">
        <is>
          <t>URGENTE</t>
        </is>
      </c>
    </row>
    <row r="9">
      <c r="A9" t="inlineStr">
        <is>
          <t>IMP-0020</t>
        </is>
      </c>
      <c r="B9" t="inlineStr">
        <is>
          <t>Impermeabilizante 10 años Thermotek 19 L</t>
        </is>
      </c>
      <c r="C9" t="inlineStr">
        <is>
          <t>Impermeabilizantes del Pacífico</t>
        </is>
      </c>
      <c r="D9" t="n">
        <v>6</v>
      </c>
      <c r="E9" t="n">
        <v>6</v>
      </c>
      <c r="F9" t="n">
        <v>15</v>
      </c>
      <c r="G9" t="n">
        <v>5.91</v>
      </c>
      <c r="H9" t="n">
        <v>1</v>
      </c>
      <c r="I9" t="inlineStr">
        <is>
          <t>URGENTE</t>
        </is>
      </c>
    </row>
    <row r="10">
      <c r="A10" t="inlineStr">
        <is>
          <t>TOR-0025</t>
        </is>
      </c>
      <c r="B10" t="inlineStr">
        <is>
          <t>Pija Fiero 1/4" x 1"</t>
        </is>
      </c>
      <c r="C10" t="inlineStr">
        <is>
          <t>Distribuidora Truper Occidente</t>
        </is>
      </c>
      <c r="D10" t="n">
        <v>5</v>
      </c>
      <c r="E10" t="n">
        <v>13</v>
      </c>
      <c r="F10" t="n">
        <v>15</v>
      </c>
      <c r="G10" t="n">
        <v>11.06</v>
      </c>
      <c r="H10" t="n">
        <v>1.2</v>
      </c>
      <c r="I10" t="inlineStr">
        <is>
          <t>URGENTE</t>
        </is>
      </c>
    </row>
    <row r="11">
      <c r="A11" t="inlineStr">
        <is>
          <t>ELE-0023</t>
        </is>
      </c>
      <c r="B11" t="inlineStr">
        <is>
          <t>Chalupa Argos 9 W</t>
        </is>
      </c>
      <c r="C11" t="inlineStr">
        <is>
          <t>Eléctricos del Centro</t>
        </is>
      </c>
      <c r="D11" t="n">
        <v>3</v>
      </c>
      <c r="E11" t="n">
        <v>4</v>
      </c>
      <c r="F11" t="n">
        <v>9</v>
      </c>
      <c r="G11" t="n">
        <v>3.13</v>
      </c>
      <c r="H11" t="n">
        <v>1.3</v>
      </c>
      <c r="I11" t="inlineStr">
        <is>
          <t>URGENTE</t>
        </is>
      </c>
    </row>
    <row r="12">
      <c r="A12" t="inlineStr">
        <is>
          <t>PIN-0024</t>
        </is>
      </c>
      <c r="B12" t="inlineStr">
        <is>
          <t>Esmalte Comex 2"</t>
        </is>
      </c>
      <c r="C12" t="inlineStr">
        <is>
          <t>Pinturas y Recubrimientos MX</t>
        </is>
      </c>
      <c r="D12" t="n">
        <v>6</v>
      </c>
      <c r="E12" t="n">
        <v>1</v>
      </c>
      <c r="F12" t="n">
        <v>4</v>
      </c>
      <c r="G12" t="n">
        <v>0.66</v>
      </c>
      <c r="H12" t="n">
        <v>1.5</v>
      </c>
      <c r="I12" t="inlineStr">
        <is>
          <t>URGENTE</t>
        </is>
      </c>
    </row>
    <row r="13">
      <c r="A13" t="inlineStr">
        <is>
          <t>ELE-0001</t>
        </is>
      </c>
      <c r="B13" t="inlineStr">
        <is>
          <t>Cable THW Volteck cal. 12</t>
        </is>
      </c>
      <c r="C13" t="inlineStr">
        <is>
          <t>Eléctricos del Centro</t>
        </is>
      </c>
      <c r="D13" t="n">
        <v>3</v>
      </c>
      <c r="E13" t="n">
        <v>2</v>
      </c>
      <c r="F13" t="n">
        <v>4</v>
      </c>
      <c r="G13" t="n">
        <v>1.18</v>
      </c>
      <c r="H13" t="n">
        <v>1.7</v>
      </c>
      <c r="I13" t="inlineStr">
        <is>
          <t>URGENTE</t>
        </is>
      </c>
    </row>
    <row r="14">
      <c r="A14" t="inlineStr">
        <is>
          <t>ELE-0005</t>
        </is>
      </c>
      <c r="B14" t="inlineStr">
        <is>
          <t>Cable THW Bticino cal. 12</t>
        </is>
      </c>
      <c r="C14" t="inlineStr">
        <is>
          <t>Eléctricos del Centro</t>
        </is>
      </c>
      <c r="D14" t="n">
        <v>3</v>
      </c>
      <c r="E14" t="n">
        <v>6</v>
      </c>
      <c r="F14" t="n">
        <v>29</v>
      </c>
      <c r="G14" t="n">
        <v>3.63</v>
      </c>
      <c r="H14" t="n">
        <v>1.7</v>
      </c>
      <c r="I14" t="inlineStr">
        <is>
          <t>URGENTE</t>
        </is>
      </c>
    </row>
    <row r="15">
      <c r="A15" t="inlineStr">
        <is>
          <t>IMP-0014</t>
        </is>
      </c>
      <c r="B15" t="inlineStr">
        <is>
          <t>Sellador elastomérico Fester 19 L</t>
        </is>
      </c>
      <c r="C15" t="inlineStr">
        <is>
          <t>Impermeabilizantes del Pacífico</t>
        </is>
      </c>
      <c r="D15" t="n">
        <v>6</v>
      </c>
      <c r="E15" t="n">
        <v>12</v>
      </c>
      <c r="F15" t="n">
        <v>17</v>
      </c>
      <c r="G15" t="n">
        <v>6.67</v>
      </c>
      <c r="H15" t="n">
        <v>1.8</v>
      </c>
      <c r="I15" t="inlineStr">
        <is>
          <t>URGENTE</t>
        </is>
      </c>
    </row>
    <row r="16">
      <c r="A16" t="inlineStr">
        <is>
          <t>TOR-0011</t>
        </is>
      </c>
      <c r="B16" t="inlineStr">
        <is>
          <t>Rondana Hermex 1/4"</t>
        </is>
      </c>
      <c r="C16" t="inlineStr">
        <is>
          <t>Tornillos y Fijaciones SA</t>
        </is>
      </c>
      <c r="D16" t="n">
        <v>4</v>
      </c>
      <c r="E16" t="n">
        <v>10</v>
      </c>
      <c r="F16" t="n">
        <v>17</v>
      </c>
      <c r="G16" t="n">
        <v>5.14</v>
      </c>
      <c r="H16" t="n">
        <v>1.9</v>
      </c>
      <c r="I16" t="inlineStr">
        <is>
          <t>URGENTE</t>
        </is>
      </c>
    </row>
    <row r="17">
      <c r="A17" t="inlineStr">
        <is>
          <t>TOR-0054</t>
        </is>
      </c>
      <c r="B17" t="inlineStr">
        <is>
          <t>Clavo Fischer 2 1/2"</t>
        </is>
      </c>
      <c r="C17" t="inlineStr">
        <is>
          <t>Distribuidora Truper Occidente</t>
        </is>
      </c>
      <c r="D17" t="n">
        <v>5</v>
      </c>
      <c r="E17" t="n">
        <v>6</v>
      </c>
      <c r="F17" t="n">
        <v>8</v>
      </c>
      <c r="G17" t="n">
        <v>2.94</v>
      </c>
      <c r="H17" t="n">
        <v>2</v>
      </c>
      <c r="I17" t="inlineStr">
        <is>
          <t>URGENTE</t>
        </is>
      </c>
    </row>
    <row r="18">
      <c r="A18" t="inlineStr">
        <is>
          <t>IMP-0003</t>
        </is>
      </c>
      <c r="B18" t="inlineStr">
        <is>
          <t>Impermeabilizante 10 años Fester</t>
        </is>
      </c>
      <c r="C18" t="inlineStr">
        <is>
          <t>Pinturas y Recubrimientos MX</t>
        </is>
      </c>
      <c r="D18" t="n">
        <v>6</v>
      </c>
      <c r="E18" t="n">
        <v>7</v>
      </c>
      <c r="F18" t="n">
        <v>20</v>
      </c>
      <c r="G18" t="n">
        <v>3.57</v>
      </c>
      <c r="H18" t="n">
        <v>2</v>
      </c>
      <c r="I18" t="inlineStr">
        <is>
          <t>URGENTE</t>
        </is>
      </c>
    </row>
    <row r="19">
      <c r="A19" t="inlineStr">
        <is>
          <t>IMP-0026</t>
        </is>
      </c>
      <c r="B19" t="inlineStr">
        <is>
          <t>Impermeabilizante 5 años Comex 4 L</t>
        </is>
      </c>
      <c r="C19" t="inlineStr">
        <is>
          <t>Impermeabilizantes del Pacífico</t>
        </is>
      </c>
      <c r="D19" t="n">
        <v>6</v>
      </c>
      <c r="E19" t="n">
        <v>7</v>
      </c>
      <c r="F19" t="n">
        <v>24</v>
      </c>
      <c r="G19" t="n">
        <v>3.52</v>
      </c>
      <c r="H19" t="n">
        <v>2</v>
      </c>
      <c r="I19" t="inlineStr">
        <is>
          <t>URGENTE</t>
        </is>
      </c>
    </row>
    <row r="20">
      <c r="A20" t="inlineStr">
        <is>
          <t>ELE-0007</t>
        </is>
      </c>
      <c r="B20" t="inlineStr">
        <is>
          <t>Centro de carga Volteck 20 A</t>
        </is>
      </c>
      <c r="C20" t="inlineStr">
        <is>
          <t>Eléctricos del Centro</t>
        </is>
      </c>
      <c r="D20" t="n">
        <v>3</v>
      </c>
      <c r="E20" t="n">
        <v>3</v>
      </c>
      <c r="F20" t="n">
        <v>9</v>
      </c>
      <c r="G20" t="n">
        <v>1.42</v>
      </c>
      <c r="H20" t="n">
        <v>2.1</v>
      </c>
      <c r="I20" t="inlineStr">
        <is>
          <t>URGENTE</t>
        </is>
      </c>
    </row>
    <row r="21">
      <c r="A21" t="inlineStr">
        <is>
          <t>CON-0007</t>
        </is>
      </c>
      <c r="B21" t="inlineStr">
        <is>
          <t>Arena (bulto) Holcim 25 kg</t>
        </is>
      </c>
      <c r="C21" t="inlineStr">
        <is>
          <t>Materiales La Huerta</t>
        </is>
      </c>
      <c r="D21" t="n">
        <v>2</v>
      </c>
      <c r="E21" t="n">
        <v>8</v>
      </c>
      <c r="F21" t="n">
        <v>15</v>
      </c>
      <c r="G21" t="n">
        <v>3</v>
      </c>
      <c r="H21" t="n">
        <v>2.7</v>
      </c>
      <c r="I21" t="inlineStr">
        <is>
          <t>Programar</t>
        </is>
      </c>
    </row>
    <row r="22">
      <c r="A22" t="inlineStr">
        <is>
          <t>CON-0030</t>
        </is>
      </c>
      <c r="B22" t="inlineStr">
        <is>
          <t>Block Cruz Azul 50 kg</t>
        </is>
      </c>
      <c r="C22" t="inlineStr">
        <is>
          <t>Materiales La Huerta</t>
        </is>
      </c>
      <c r="D22" t="n">
        <v>2</v>
      </c>
      <c r="E22" t="n">
        <v>7</v>
      </c>
      <c r="F22" t="n">
        <v>32</v>
      </c>
      <c r="G22" t="n">
        <v>2.37</v>
      </c>
      <c r="H22" t="n">
        <v>3</v>
      </c>
      <c r="I22" t="inlineStr">
        <is>
          <t>Programar</t>
        </is>
      </c>
    </row>
    <row r="23">
      <c r="A23" t="inlineStr">
        <is>
          <t>TOR-0055</t>
        </is>
      </c>
      <c r="B23" t="inlineStr">
        <is>
          <t>SIN DESCRIPCIÓN - REVISAR</t>
        </is>
      </c>
      <c r="C23" t="inlineStr">
        <is>
          <t>Distribuidora Truper Occidente</t>
        </is>
      </c>
      <c r="D23" t="n">
        <v>5</v>
      </c>
      <c r="E23" t="n">
        <v>13</v>
      </c>
      <c r="F23" t="n">
        <v>29</v>
      </c>
      <c r="G23" t="n">
        <v>3.87</v>
      </c>
      <c r="H23" t="n">
        <v>3.4</v>
      </c>
      <c r="I23" t="inlineStr">
        <is>
          <t>URGENTE</t>
        </is>
      </c>
    </row>
    <row r="24">
      <c r="A24" t="inlineStr">
        <is>
          <t>JAR-0015</t>
        </is>
      </c>
      <c r="B24" t="inlineStr">
        <is>
          <t>Carretilla Rugo 5 pies3</t>
        </is>
      </c>
      <c r="C24" t="inlineStr">
        <is>
          <t>Distribuidora Truper Occidente</t>
        </is>
      </c>
      <c r="D24" t="n">
        <v>5</v>
      </c>
      <c r="E24" t="n">
        <v>1</v>
      </c>
      <c r="F24" t="n">
        <v>18</v>
      </c>
      <c r="G24" t="n">
        <v>0.29</v>
      </c>
      <c r="H24" t="n">
        <v>3.5</v>
      </c>
      <c r="I24" t="inlineStr">
        <is>
          <t>URGENTE</t>
        </is>
      </c>
    </row>
    <row r="25">
      <c r="A25" t="inlineStr">
        <is>
          <t>PIN-0015</t>
        </is>
      </c>
      <c r="B25" t="inlineStr">
        <is>
          <t>Esmalte Berel 4 L</t>
        </is>
      </c>
      <c r="C25" t="inlineStr">
        <is>
          <t>Pinturas y Recubrimientos MX</t>
        </is>
      </c>
      <c r="D25" t="n">
        <v>6</v>
      </c>
      <c r="E25" t="n">
        <v>3</v>
      </c>
      <c r="F25" t="n">
        <v>6</v>
      </c>
      <c r="G25" t="n">
        <v>0.84</v>
      </c>
      <c r="H25" t="n">
        <v>3.6</v>
      </c>
      <c r="I25" t="inlineStr">
        <is>
          <t>URGENTE</t>
        </is>
      </c>
    </row>
    <row r="26">
      <c r="A26" t="inlineStr">
        <is>
          <t>CON-0025</t>
        </is>
      </c>
      <c r="B26" t="inlineStr">
        <is>
          <t>SIN DESCRIPCIÓN - REVISAR</t>
        </is>
      </c>
      <c r="C26" t="inlineStr">
        <is>
          <t>Materiales La Huerta</t>
        </is>
      </c>
      <c r="D26" t="n">
        <v>2</v>
      </c>
      <c r="E26" t="n">
        <v>9</v>
      </c>
      <c r="F26" t="n">
        <v>37</v>
      </c>
      <c r="G26" t="n">
        <v>1.93</v>
      </c>
      <c r="H26" t="n">
        <v>4.7</v>
      </c>
      <c r="I26" t="inlineStr">
        <is>
          <t>Programar</t>
        </is>
      </c>
    </row>
    <row r="27">
      <c r="A27" t="inlineStr">
        <is>
          <t>PLO-0025</t>
        </is>
      </c>
      <c r="B27" t="inlineStr">
        <is>
          <t>Tee PVC Rotoplas 2"</t>
        </is>
      </c>
      <c r="C27" t="inlineStr">
        <is>
          <t>Coflex Bajío</t>
        </is>
      </c>
      <c r="D27" t="n">
        <v>7</v>
      </c>
      <c r="E27" t="n">
        <v>4</v>
      </c>
      <c r="F27" t="n">
        <v>11</v>
      </c>
      <c r="G27" t="n">
        <v>0.8100000000000001</v>
      </c>
      <c r="H27" t="n">
        <v>4.9</v>
      </c>
      <c r="I27" t="inlineStr">
        <is>
          <t>URGENTE</t>
        </is>
      </c>
    </row>
  </sheetData>
  <autoFilter ref="A2:I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20" customWidth="1" min="4" max="4"/>
    <col width="19" customWidth="1" min="5" max="5"/>
    <col width="12" customWidth="1" min="6" max="6"/>
    <col width="18" customWidth="1" min="7" max="7"/>
  </cols>
  <sheetData>
    <row r="1">
      <c r="A1" s="2" t="inlineStr">
        <is>
          <t>Dif. inventario</t>
        </is>
      </c>
    </row>
    <row r="2">
      <c r="A2" s="8" t="inlineStr">
        <is>
          <t>sku</t>
        </is>
      </c>
      <c r="B2" s="8" t="inlineStr">
        <is>
          <t>descripcion</t>
        </is>
      </c>
      <c r="C2" s="8" t="inlineStr">
        <is>
          <t>categoria</t>
        </is>
      </c>
      <c r="D2" s="8" t="inlineStr">
        <is>
          <t>existencia_sistema</t>
        </is>
      </c>
      <c r="E2" s="8" t="inlineStr">
        <is>
          <t>existencia_fisica</t>
        </is>
      </c>
      <c r="F2" s="8" t="inlineStr">
        <is>
          <t>diferencia</t>
        </is>
      </c>
      <c r="G2" s="8" t="inlineStr">
        <is>
          <t>valor_diferencia</t>
        </is>
      </c>
    </row>
    <row r="3">
      <c r="A3" t="inlineStr">
        <is>
          <t>IMP-0021</t>
        </is>
      </c>
      <c r="B3" t="inlineStr">
        <is>
          <t>Membrana refuerzo Comex 4 L</t>
        </is>
      </c>
      <c r="C3" t="inlineStr">
        <is>
          <t>Impermeabilizantes</t>
        </is>
      </c>
      <c r="D3" t="n">
        <v>109</v>
      </c>
      <c r="E3" t="n">
        <v>50</v>
      </c>
      <c r="F3" t="n">
        <v>-59</v>
      </c>
      <c r="G3" s="4" t="n">
        <v>-57242.98</v>
      </c>
    </row>
    <row r="4">
      <c r="A4" t="inlineStr">
        <is>
          <t>JAR-0015</t>
        </is>
      </c>
      <c r="B4" t="inlineStr">
        <is>
          <t>Carretilla Rugo 5 pies3</t>
        </is>
      </c>
      <c r="C4" t="inlineStr">
        <is>
          <t>Jardinería</t>
        </is>
      </c>
      <c r="D4" t="n">
        <v>34</v>
      </c>
      <c r="E4" t="n">
        <v>1</v>
      </c>
      <c r="F4" t="n">
        <v>-33</v>
      </c>
      <c r="G4" s="4" t="n">
        <v>-11722.59</v>
      </c>
    </row>
    <row r="5">
      <c r="A5" t="inlineStr">
        <is>
          <t>IMP-0013</t>
        </is>
      </c>
      <c r="B5" t="inlineStr">
        <is>
          <t>Impermeabilizante 5 años Fester 19 L</t>
        </is>
      </c>
      <c r="C5" t="inlineStr">
        <is>
          <t>Impermeabilizantes</t>
        </is>
      </c>
      <c r="D5" t="n">
        <v>147</v>
      </c>
      <c r="E5" t="n">
        <v>144</v>
      </c>
      <c r="F5" t="n">
        <v>-3</v>
      </c>
      <c r="G5" s="4" t="n">
        <v>-6214.77</v>
      </c>
    </row>
    <row r="6">
      <c r="A6" t="inlineStr">
        <is>
          <t>JAR-0017</t>
        </is>
      </c>
      <c r="B6" t="inlineStr">
        <is>
          <t>Aspersor Rugo Mango largo</t>
        </is>
      </c>
      <c r="C6" t="inlineStr">
        <is>
          <t>Jardinería</t>
        </is>
      </c>
      <c r="D6" t="n">
        <v>33</v>
      </c>
      <c r="E6" t="n">
        <v>2</v>
      </c>
      <c r="F6" t="n">
        <v>-31</v>
      </c>
      <c r="G6" s="4" t="n">
        <v>-4417.5</v>
      </c>
    </row>
    <row r="7">
      <c r="A7" t="inlineStr">
        <is>
          <t>HER-0021</t>
        </is>
      </c>
      <c r="B7" t="inlineStr">
        <is>
          <t>Taladro Hermex 3/8"</t>
        </is>
      </c>
      <c r="C7" t="inlineStr">
        <is>
          <t>Herramientas</t>
        </is>
      </c>
      <c r="D7" t="n">
        <v>53</v>
      </c>
      <c r="E7" t="n">
        <v>33</v>
      </c>
      <c r="F7" t="n">
        <v>-20</v>
      </c>
      <c r="G7" s="4" t="n">
        <v>-3995.4</v>
      </c>
    </row>
    <row r="8">
      <c r="A8" t="inlineStr">
        <is>
          <t>IMP-0001</t>
        </is>
      </c>
      <c r="B8" t="inlineStr">
        <is>
          <t>Membrana refuerzo Thermotek</t>
        </is>
      </c>
      <c r="C8" t="inlineStr">
        <is>
          <t>Impermeabilizantes</t>
        </is>
      </c>
      <c r="D8" t="n">
        <v>86</v>
      </c>
      <c r="E8" t="n">
        <v>84</v>
      </c>
      <c r="F8" t="n">
        <v>-2</v>
      </c>
      <c r="G8" s="4" t="n">
        <v>-3642.74</v>
      </c>
    </row>
    <row r="9">
      <c r="A9" t="inlineStr">
        <is>
          <t>CON-0004</t>
        </is>
      </c>
      <c r="B9" t="inlineStr">
        <is>
          <t>Malla electrosoldada Deacero 3/8"</t>
        </is>
      </c>
      <c r="C9" t="inlineStr">
        <is>
          <t>Construcción</t>
        </is>
      </c>
      <c r="D9" t="n">
        <v>40</v>
      </c>
      <c r="E9" t="n">
        <v>35</v>
      </c>
      <c r="F9" t="n">
        <v>-5</v>
      </c>
      <c r="G9" s="4" t="n">
        <v>-2715.4</v>
      </c>
    </row>
    <row r="10">
      <c r="A10" t="inlineStr">
        <is>
          <t>HER-0030</t>
        </is>
      </c>
      <c r="B10" t="inlineStr">
        <is>
          <t>Juego de llaves Pretul 24"</t>
        </is>
      </c>
      <c r="C10" t="inlineStr">
        <is>
          <t>Herramientas</t>
        </is>
      </c>
      <c r="D10" t="n">
        <v>21</v>
      </c>
      <c r="E10" t="n">
        <v>16</v>
      </c>
      <c r="F10" t="n">
        <v>-5</v>
      </c>
      <c r="G10" s="4" t="n">
        <v>-2400.95</v>
      </c>
    </row>
    <row r="11">
      <c r="A11" t="inlineStr">
        <is>
          <t>PIN-0034</t>
        </is>
      </c>
      <c r="B11" t="inlineStr">
        <is>
          <t>Barniz Comex 2"</t>
        </is>
      </c>
      <c r="C11" t="inlineStr">
        <is>
          <t>Pinturas</t>
        </is>
      </c>
      <c r="D11" t="n">
        <v>12</v>
      </c>
      <c r="E11" t="n">
        <v>7</v>
      </c>
      <c r="F11" t="n">
        <v>-5</v>
      </c>
      <c r="G11" s="4" t="n">
        <v>-2191.3</v>
      </c>
    </row>
    <row r="12">
      <c r="A12" t="inlineStr">
        <is>
          <t>PLO-0018</t>
        </is>
      </c>
      <c r="B12" t="inlineStr">
        <is>
          <t>Regadera Rotoplas 15 m</t>
        </is>
      </c>
      <c r="C12" t="inlineStr">
        <is>
          <t>Plomería</t>
        </is>
      </c>
      <c r="D12" t="n">
        <v>42</v>
      </c>
      <c r="E12" t="n">
        <v>38</v>
      </c>
      <c r="F12" t="n">
        <v>-4</v>
      </c>
      <c r="G12" s="4" t="n">
        <v>-2157.96</v>
      </c>
    </row>
    <row r="13">
      <c r="A13" t="inlineStr">
        <is>
          <t>PIN-0007</t>
        </is>
      </c>
      <c r="B13" t="inlineStr">
        <is>
          <t>Pintura vinílica Berel 19 L</t>
        </is>
      </c>
      <c r="C13" t="inlineStr">
        <is>
          <t>Pinturas</t>
        </is>
      </c>
      <c r="D13" t="n">
        <v>65</v>
      </c>
      <c r="E13" t="n">
        <v>59</v>
      </c>
      <c r="F13" t="n">
        <v>-6</v>
      </c>
      <c r="G13" s="4" t="n">
        <v>-1951.26</v>
      </c>
    </row>
    <row r="14">
      <c r="A14" t="inlineStr">
        <is>
          <t>SEG-0001</t>
        </is>
      </c>
      <c r="B14" t="inlineStr">
        <is>
          <t>Cubrebocas 3M Talla G</t>
        </is>
      </c>
      <c r="C14" t="inlineStr">
        <is>
          <t>Seguridad</t>
        </is>
      </c>
      <c r="D14" t="n">
        <v>82</v>
      </c>
      <c r="E14" t="n">
        <v>74</v>
      </c>
      <c r="F14" t="n">
        <v>-8</v>
      </c>
      <c r="G14" s="4" t="n">
        <v>-1714.88</v>
      </c>
    </row>
    <row r="15">
      <c r="A15" t="inlineStr">
        <is>
          <t>PLO-0007</t>
        </is>
      </c>
      <c r="B15" t="inlineStr">
        <is>
          <t>Conector flexible Rotoplas 1/2"</t>
        </is>
      </c>
      <c r="C15" t="inlineStr">
        <is>
          <t>Plomería</t>
        </is>
      </c>
      <c r="D15" t="n">
        <v>74</v>
      </c>
      <c r="E15" t="n">
        <v>67</v>
      </c>
      <c r="F15" t="n">
        <v>-7</v>
      </c>
      <c r="G15" s="4" t="n">
        <v>-1584.38</v>
      </c>
    </row>
    <row r="16">
      <c r="A16" t="inlineStr">
        <is>
          <t>JAR-0005</t>
        </is>
      </c>
      <c r="B16" t="inlineStr">
        <is>
          <t>Rastrillo Rugo</t>
        </is>
      </c>
      <c r="C16" t="inlineStr">
        <is>
          <t>Jardinería</t>
        </is>
      </c>
      <c r="D16" t="n">
        <v>94</v>
      </c>
      <c r="E16" t="n">
        <v>88</v>
      </c>
      <c r="F16" t="n">
        <v>-6</v>
      </c>
      <c r="G16" s="4" t="n">
        <v>-1239.3</v>
      </c>
    </row>
    <row r="17">
      <c r="A17" t="inlineStr">
        <is>
          <t>ELE-0032</t>
        </is>
      </c>
      <c r="B17" t="inlineStr">
        <is>
          <t>SIN DESCRIPCIÓN - REVISAR</t>
        </is>
      </c>
      <c r="C17" t="inlineStr">
        <is>
          <t>Eléctrico</t>
        </is>
      </c>
      <c r="D17" t="n">
        <v>36</v>
      </c>
      <c r="E17" t="n">
        <v>30</v>
      </c>
      <c r="F17" t="n">
        <v>-6</v>
      </c>
      <c r="G17" s="4" t="n">
        <v>-1229.58</v>
      </c>
    </row>
    <row r="18">
      <c r="A18" t="inlineStr">
        <is>
          <t>PLO-0038</t>
        </is>
      </c>
      <c r="B18" t="inlineStr">
        <is>
          <t>Teflón Rotoplas 2"</t>
        </is>
      </c>
      <c r="C18" t="inlineStr">
        <is>
          <t>Plomería</t>
        </is>
      </c>
      <c r="D18" t="n">
        <v>36</v>
      </c>
      <c r="E18" t="n">
        <v>32</v>
      </c>
      <c r="F18" t="n">
        <v>-4</v>
      </c>
      <c r="G18" s="4" t="n">
        <v>-1190.28</v>
      </c>
    </row>
    <row r="19">
      <c r="A19" t="inlineStr">
        <is>
          <t>PLO-0024</t>
        </is>
      </c>
      <c r="B19" t="inlineStr">
        <is>
          <t>Regadera Rotoplas 2"</t>
        </is>
      </c>
      <c r="C19" t="inlineStr">
        <is>
          <t>Plomería</t>
        </is>
      </c>
      <c r="D19" t="n">
        <v>25</v>
      </c>
      <c r="E19" t="n">
        <v>0</v>
      </c>
      <c r="F19" t="n">
        <v>-25</v>
      </c>
      <c r="G19" s="4" t="n">
        <v>-1116.5</v>
      </c>
    </row>
    <row r="20">
      <c r="A20" t="inlineStr">
        <is>
          <t>SEG-0005</t>
        </is>
      </c>
      <c r="B20" t="inlineStr">
        <is>
          <t>Chaleco Hermex 50 mm</t>
        </is>
      </c>
      <c r="C20" t="inlineStr">
        <is>
          <t>Seguridad</t>
        </is>
      </c>
      <c r="D20" t="n">
        <v>54</v>
      </c>
      <c r="E20" t="n">
        <v>52</v>
      </c>
      <c r="F20" t="n">
        <v>-2</v>
      </c>
      <c r="G20" s="4" t="n">
        <v>-1065.94</v>
      </c>
    </row>
    <row r="21">
      <c r="A21" t="inlineStr">
        <is>
          <t>CON-0034</t>
        </is>
      </c>
      <c r="B21" t="inlineStr">
        <is>
          <t>Arena (bulto) Holcim 3/8"</t>
        </is>
      </c>
      <c r="C21" t="inlineStr">
        <is>
          <t>Construcción</t>
        </is>
      </c>
      <c r="D21" t="n">
        <v>37</v>
      </c>
      <c r="E21" t="n">
        <v>29</v>
      </c>
      <c r="F21" t="n">
        <v>-8</v>
      </c>
      <c r="G21" s="4" t="n">
        <v>-1064.4</v>
      </c>
    </row>
    <row r="22">
      <c r="A22" t="inlineStr">
        <is>
          <t>CON-0005</t>
        </is>
      </c>
      <c r="B22" t="inlineStr">
        <is>
          <t>Mortero Holcim 50 kg</t>
        </is>
      </c>
      <c r="C22" t="inlineStr">
        <is>
          <t>Construcción</t>
        </is>
      </c>
      <c r="D22" t="n">
        <v>32</v>
      </c>
      <c r="E22" t="n">
        <v>28</v>
      </c>
      <c r="F22" t="n">
        <v>-4</v>
      </c>
      <c r="G22" s="4" t="n">
        <v>-1063.96</v>
      </c>
    </row>
  </sheetData>
  <autoFilter ref="A2:G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9" customWidth="1" min="2" max="2"/>
    <col width="33" customWidth="1" min="3" max="3"/>
    <col width="14" customWidth="1" min="4" max="4"/>
    <col width="13" customWidth="1" min="5" max="5"/>
    <col width="13" customWidth="1" min="6" max="6"/>
    <col width="14" customWidth="1" min="7" max="7"/>
    <col width="19" customWidth="1" min="8" max="8"/>
    <col width="18" customWidth="1" min="9" max="9"/>
    <col width="27" customWidth="1" min="10" max="10"/>
  </cols>
  <sheetData>
    <row r="1">
      <c r="A1" s="2" t="inlineStr">
        <is>
          <t>Erosión margen</t>
        </is>
      </c>
    </row>
    <row r="2">
      <c r="A2" s="8" t="inlineStr">
        <is>
          <t>sku</t>
        </is>
      </c>
      <c r="B2" s="8" t="inlineStr">
        <is>
          <t>descripcion</t>
        </is>
      </c>
      <c r="C2" s="8" t="inlineStr">
        <is>
          <t>proveedor</t>
        </is>
      </c>
      <c r="D2" s="8" t="inlineStr">
        <is>
          <t>costo_actual</t>
        </is>
      </c>
      <c r="E2" s="8" t="inlineStr">
        <is>
          <t>costo_nuevo</t>
        </is>
      </c>
      <c r="F2" s="8" t="inlineStr">
        <is>
          <t>aumento_pct</t>
        </is>
      </c>
      <c r="G2" s="8" t="inlineStr">
        <is>
          <t>precio_venta</t>
        </is>
      </c>
      <c r="H2" s="8" t="inlineStr">
        <is>
          <t>margen_actual_pct</t>
        </is>
      </c>
      <c r="I2" s="8" t="inlineStr">
        <is>
          <t>margen_nuevo_pct</t>
        </is>
      </c>
      <c r="J2" s="8" t="inlineStr">
        <is>
          <t>precio_sugerido_margen_30</t>
        </is>
      </c>
    </row>
    <row r="3">
      <c r="A3" t="inlineStr">
        <is>
          <t>PLO-0045</t>
        </is>
      </c>
      <c r="B3" t="inlineStr">
        <is>
          <t>Válvula esfera Coflex 2"</t>
        </is>
      </c>
      <c r="C3" t="inlineStr">
        <is>
          <t>Coflex Bajío</t>
        </is>
      </c>
      <c r="D3" s="4" t="n">
        <v>16.89</v>
      </c>
      <c r="E3" s="4" t="n">
        <v>18.19</v>
      </c>
      <c r="F3" t="n">
        <v>7.7</v>
      </c>
      <c r="G3" s="4" t="n">
        <v>13.74</v>
      </c>
      <c r="H3" t="n">
        <v>-22.9</v>
      </c>
      <c r="I3" t="n">
        <v>-32.4</v>
      </c>
      <c r="J3" s="4" t="n">
        <v>25.9</v>
      </c>
    </row>
    <row r="4">
      <c r="A4" t="inlineStr">
        <is>
          <t>CON-0022</t>
        </is>
      </c>
      <c r="B4" t="inlineStr">
        <is>
          <t>Cemento Cemex</t>
        </is>
      </c>
      <c r="C4" t="inlineStr">
        <is>
          <t>Materiales La Huerta</t>
        </is>
      </c>
      <c r="D4" s="4" t="n">
        <v>159.64</v>
      </c>
      <c r="E4" s="4" t="n">
        <v>202.92</v>
      </c>
      <c r="F4" t="n">
        <v>27.1</v>
      </c>
      <c r="G4" s="4" t="n">
        <v>201.9</v>
      </c>
      <c r="H4" t="n">
        <v>20.9</v>
      </c>
      <c r="I4" t="n">
        <v>-0.5</v>
      </c>
      <c r="J4" s="4" t="n">
        <v>289.9</v>
      </c>
    </row>
    <row r="5">
      <c r="A5" t="inlineStr">
        <is>
          <t>ELE-0001</t>
        </is>
      </c>
      <c r="B5" t="inlineStr">
        <is>
          <t>Cable THW Volteck cal. 12</t>
        </is>
      </c>
      <c r="C5" t="inlineStr">
        <is>
          <t>Eléctricos del Centro</t>
        </is>
      </c>
      <c r="D5" s="4" t="n">
        <v>181.9</v>
      </c>
      <c r="E5" s="4" t="n">
        <v>236.65</v>
      </c>
      <c r="F5" t="n">
        <v>30.1</v>
      </c>
      <c r="G5" s="4" t="n">
        <v>236.9</v>
      </c>
      <c r="H5" t="n">
        <v>23.2</v>
      </c>
      <c r="I5" t="n">
        <v>0.1</v>
      </c>
      <c r="J5" s="4" t="n">
        <v>337.9</v>
      </c>
    </row>
    <row r="6">
      <c r="A6" t="inlineStr">
        <is>
          <t>HER-0020</t>
        </is>
      </c>
      <c r="B6" t="inlineStr">
        <is>
          <t>Serrucho Surtek 5 m</t>
        </is>
      </c>
      <c r="C6" t="inlineStr">
        <is>
          <t>Distribuidora Truper Occidente</t>
        </is>
      </c>
      <c r="D6" s="4" t="n">
        <v>108.17</v>
      </c>
      <c r="E6" s="4" t="n">
        <v>133.79</v>
      </c>
      <c r="F6" t="n">
        <v>23.7</v>
      </c>
      <c r="G6" s="4" t="n">
        <v>136.9</v>
      </c>
      <c r="H6" t="n">
        <v>21</v>
      </c>
      <c r="I6" t="n">
        <v>2.3</v>
      </c>
      <c r="J6" s="4" t="n">
        <v>190.9</v>
      </c>
    </row>
    <row r="7">
      <c r="A7" t="inlineStr">
        <is>
          <t>CON-0024</t>
        </is>
      </c>
      <c r="B7" t="inlineStr">
        <is>
          <t>Pegazulejo Cruz Azul 50 kg</t>
        </is>
      </c>
      <c r="C7" t="inlineStr">
        <is>
          <t>Materiales La Huerta</t>
        </is>
      </c>
      <c r="D7" s="4" t="n">
        <v>347.02</v>
      </c>
      <c r="E7" s="4" t="n">
        <v>367.52</v>
      </c>
      <c r="F7" t="n">
        <v>5.9</v>
      </c>
      <c r="G7" s="4" t="n">
        <v>378.9</v>
      </c>
      <c r="H7" t="n">
        <v>8.4</v>
      </c>
      <c r="I7" t="n">
        <v>3</v>
      </c>
      <c r="J7" s="4" t="n">
        <v>524.9</v>
      </c>
    </row>
    <row r="8">
      <c r="A8" t="inlineStr">
        <is>
          <t>JAR-0018</t>
        </is>
      </c>
      <c r="B8" t="inlineStr">
        <is>
          <t>Carretilla Pretul 8"</t>
        </is>
      </c>
      <c r="C8" t="inlineStr">
        <is>
          <t>AgroJardín Michoacán</t>
        </is>
      </c>
      <c r="D8" s="4" t="n">
        <v>528.48</v>
      </c>
      <c r="E8" s="4" t="n">
        <v>686.1</v>
      </c>
      <c r="F8" t="n">
        <v>29.8</v>
      </c>
      <c r="G8" s="4" t="n">
        <v>726.9</v>
      </c>
      <c r="H8" t="n">
        <v>27.3</v>
      </c>
      <c r="I8" t="n">
        <v>5.6</v>
      </c>
      <c r="J8" s="4" t="n">
        <v>979.9</v>
      </c>
    </row>
    <row r="9">
      <c r="A9" t="inlineStr">
        <is>
          <t>TOR-0063</t>
        </is>
      </c>
      <c r="B9" t="inlineStr">
        <is>
          <t>Rondana Fischer #8 x 1"</t>
        </is>
      </c>
      <c r="C9" t="inlineStr">
        <is>
          <t>Tornillos y Fijaciones SA</t>
        </is>
      </c>
      <c r="D9" s="4" t="n">
        <v>2.02</v>
      </c>
      <c r="E9" s="4" t="n">
        <v>2.65</v>
      </c>
      <c r="F9" t="n">
        <v>31.2</v>
      </c>
      <c r="G9" s="4" t="n">
        <v>2.9</v>
      </c>
      <c r="H9" t="n">
        <v>30.3</v>
      </c>
      <c r="I9" t="n">
        <v>8.6</v>
      </c>
      <c r="J9" s="4" t="n">
        <v>3.9</v>
      </c>
    </row>
    <row r="10">
      <c r="A10" t="inlineStr">
        <is>
          <t>HER-0031</t>
        </is>
      </c>
      <c r="B10" t="inlineStr">
        <is>
          <t>Taladro Hermex</t>
        </is>
      </c>
      <c r="C10" t="inlineStr">
        <is>
          <t>Distribuidora Truper Occidente</t>
        </is>
      </c>
      <c r="D10" s="4" t="n">
        <v>129.64</v>
      </c>
      <c r="E10" s="4" t="n">
        <v>149.4</v>
      </c>
      <c r="F10" t="n">
        <v>15.2</v>
      </c>
      <c r="G10" s="4" t="n">
        <v>166.9</v>
      </c>
      <c r="H10" t="n">
        <v>22.3</v>
      </c>
      <c r="I10" t="n">
        <v>10.5</v>
      </c>
      <c r="J10" s="4" t="n">
        <v>212.9</v>
      </c>
    </row>
    <row r="11">
      <c r="A11" t="inlineStr">
        <is>
          <t>CON-0008</t>
        </is>
      </c>
      <c r="B11" t="inlineStr">
        <is>
          <t>Varilla Holcim 25 kg</t>
        </is>
      </c>
      <c r="C11" t="inlineStr">
        <is>
          <t>Materiales La Huerta</t>
        </is>
      </c>
      <c r="D11" s="4" t="n">
        <v>476.15</v>
      </c>
      <c r="E11" s="4" t="n">
        <v>499.9</v>
      </c>
      <c r="F11" t="n">
        <v>5</v>
      </c>
      <c r="G11" s="4" t="n">
        <v>560.9</v>
      </c>
      <c r="H11" t="n">
        <v>15.1</v>
      </c>
      <c r="I11" t="n">
        <v>10.9</v>
      </c>
      <c r="J11" s="4" t="n">
        <v>713.9</v>
      </c>
    </row>
    <row r="12">
      <c r="A12" t="inlineStr">
        <is>
          <t>ELE-0035</t>
        </is>
      </c>
      <c r="B12" t="inlineStr">
        <is>
          <t>SIN DESCRIPCIÓN - REVISAR</t>
        </is>
      </c>
      <c r="C12" t="inlineStr">
        <is>
          <t>Eléctricos del Centro</t>
        </is>
      </c>
      <c r="D12" s="4" t="n">
        <v>98.36</v>
      </c>
      <c r="E12" s="4" t="n">
        <v>117.94</v>
      </c>
      <c r="F12" t="n">
        <v>19.9</v>
      </c>
      <c r="G12" s="4" t="n">
        <v>133.9</v>
      </c>
      <c r="H12" t="n">
        <v>26.5</v>
      </c>
      <c r="I12" t="n">
        <v>11.9</v>
      </c>
      <c r="J12" s="4" t="n">
        <v>167.9</v>
      </c>
    </row>
    <row r="13">
      <c r="A13" t="inlineStr">
        <is>
          <t>CON-0018</t>
        </is>
      </c>
      <c r="B13" t="inlineStr">
        <is>
          <t>Mortero Deacero 25 kg</t>
        </is>
      </c>
      <c r="C13" t="inlineStr">
        <is>
          <t>Materiales La Huerta</t>
        </is>
      </c>
      <c r="D13" s="4" t="n">
        <v>72.75</v>
      </c>
      <c r="E13" s="4" t="n">
        <v>76.5</v>
      </c>
      <c r="F13" t="n">
        <v>5.1</v>
      </c>
      <c r="G13" s="4" t="n">
        <v>86.90000000000001</v>
      </c>
      <c r="H13" t="n">
        <v>16.3</v>
      </c>
      <c r="I13" t="n">
        <v>12</v>
      </c>
      <c r="J13" s="4" t="n">
        <v>108.9</v>
      </c>
    </row>
    <row r="14">
      <c r="A14" t="inlineStr">
        <is>
          <t>ELE-0027</t>
        </is>
      </c>
      <c r="B14" t="inlineStr">
        <is>
          <t>Contacto Bticino cal. 14</t>
        </is>
      </c>
      <c r="C14" t="inlineStr">
        <is>
          <t>Eléctricos del Centro</t>
        </is>
      </c>
      <c r="D14" s="4" t="n">
        <v>165.7</v>
      </c>
      <c r="E14" s="4" t="n">
        <v>175.83</v>
      </c>
      <c r="F14" t="n">
        <v>6.1</v>
      </c>
      <c r="G14" s="4" t="n">
        <v>204.9</v>
      </c>
      <c r="H14" t="n">
        <v>19.1</v>
      </c>
      <c r="I14" t="n">
        <v>14.2</v>
      </c>
      <c r="J14" s="4" t="n">
        <v>250.9</v>
      </c>
    </row>
    <row r="15">
      <c r="A15" t="inlineStr">
        <is>
          <t>SEG-0012</t>
        </is>
      </c>
      <c r="B15" t="inlineStr">
        <is>
          <t>Candado 3M Talla G</t>
        </is>
      </c>
      <c r="C15" t="inlineStr">
        <is>
          <t>Tornillos y Fijaciones SA</t>
        </is>
      </c>
      <c r="D15" s="4" t="n">
        <v>23.06</v>
      </c>
      <c r="E15" s="4" t="n">
        <v>29.87</v>
      </c>
      <c r="F15" t="n">
        <v>29.5</v>
      </c>
      <c r="G15" s="4" t="n">
        <v>34.9</v>
      </c>
      <c r="H15" t="n">
        <v>33.9</v>
      </c>
      <c r="I15" t="n">
        <v>14.4</v>
      </c>
      <c r="J15" s="4" t="n">
        <v>42.9</v>
      </c>
    </row>
    <row r="16">
      <c r="A16" t="inlineStr">
        <is>
          <t>PIN-0021</t>
        </is>
      </c>
      <c r="B16" t="inlineStr">
        <is>
          <t>Pintura vinílica Comex 19 L</t>
        </is>
      </c>
      <c r="C16" t="inlineStr">
        <is>
          <t>Pinturas y Recubrimientos MX</t>
        </is>
      </c>
      <c r="D16" s="4" t="n">
        <v>853.42</v>
      </c>
      <c r="E16" s="4" t="n">
        <v>918.14</v>
      </c>
      <c r="F16" t="n">
        <v>7.6</v>
      </c>
      <c r="G16" s="4" t="n">
        <v>1073.9</v>
      </c>
      <c r="H16" t="n">
        <v>20.5</v>
      </c>
      <c r="I16" t="n">
        <v>14.5</v>
      </c>
      <c r="J16" s="4" t="n">
        <v>1311.9</v>
      </c>
    </row>
    <row r="17">
      <c r="A17" t="inlineStr">
        <is>
          <t>PIN-0006</t>
        </is>
      </c>
      <c r="B17" t="inlineStr">
        <is>
          <t>Sellador Comex 1 L</t>
        </is>
      </c>
      <c r="C17" t="inlineStr">
        <is>
          <t>Pinturas y Recubrimientos MX</t>
        </is>
      </c>
      <c r="D17" s="4" t="n">
        <v>1785.25</v>
      </c>
      <c r="E17" s="4" t="n">
        <v>1897.99</v>
      </c>
      <c r="F17" t="n">
        <v>6.3</v>
      </c>
      <c r="G17" s="4" t="n">
        <v>2219.9</v>
      </c>
      <c r="H17" t="n">
        <v>19.6</v>
      </c>
      <c r="I17" t="n">
        <v>14.5</v>
      </c>
      <c r="J17" s="4" t="n">
        <v>2710.9</v>
      </c>
    </row>
    <row r="18">
      <c r="A18" t="inlineStr">
        <is>
          <t>IMP-0018</t>
        </is>
      </c>
      <c r="B18" t="inlineStr">
        <is>
          <t>Membrana refuerzo Fester</t>
        </is>
      </c>
      <c r="C18" t="inlineStr">
        <is>
          <t>Impermeabilizantes del Pacífico</t>
        </is>
      </c>
      <c r="D18" s="4" t="n">
        <v>1560.49</v>
      </c>
      <c r="E18" s="4" t="n">
        <v>1625.71</v>
      </c>
      <c r="F18" t="n">
        <v>4.2</v>
      </c>
      <c r="G18" s="4" t="n">
        <v>1905.9</v>
      </c>
      <c r="H18" t="n">
        <v>18.1</v>
      </c>
      <c r="I18" t="n">
        <v>14.7</v>
      </c>
      <c r="J18" s="4" t="n">
        <v>2321.9</v>
      </c>
    </row>
    <row r="19">
      <c r="A19" t="inlineStr">
        <is>
          <t>CON-0029</t>
        </is>
      </c>
      <c r="B19" t="inlineStr">
        <is>
          <t>Varilla Cruz Azul</t>
        </is>
      </c>
      <c r="C19" t="inlineStr">
        <is>
          <t>Materiales La Huerta</t>
        </is>
      </c>
      <c r="D19" s="4" t="n">
        <v>42.76</v>
      </c>
      <c r="E19" s="4" t="n">
        <v>45.09</v>
      </c>
      <c r="F19" t="n">
        <v>5.5</v>
      </c>
      <c r="G19" s="4" t="n">
        <v>52.9</v>
      </c>
      <c r="H19" t="n">
        <v>19.2</v>
      </c>
      <c r="I19" t="n">
        <v>14.8</v>
      </c>
      <c r="J19" s="4" t="n">
        <v>63.9</v>
      </c>
    </row>
    <row r="20">
      <c r="A20" t="inlineStr">
        <is>
          <t>SEG-0005</t>
        </is>
      </c>
      <c r="B20" t="inlineStr">
        <is>
          <t>Chaleco Hermex 50 mm</t>
        </is>
      </c>
      <c r="C20" t="inlineStr">
        <is>
          <t>Distribuidora Truper Occidente</t>
        </is>
      </c>
      <c r="D20" s="4" t="n">
        <v>532.97</v>
      </c>
      <c r="E20" s="4" t="n">
        <v>681.64</v>
      </c>
      <c r="F20" t="n">
        <v>27.9</v>
      </c>
      <c r="G20" s="4" t="n">
        <v>799.9</v>
      </c>
      <c r="H20" t="n">
        <v>33.4</v>
      </c>
      <c r="I20" t="n">
        <v>14.8</v>
      </c>
      <c r="J20" s="4" t="n">
        <v>973.9</v>
      </c>
    </row>
  </sheetData>
  <autoFilter ref="A2:J20"/>
  <conditionalFormatting sqref="I3:I20">
    <cfRule type="cellIs" priority="1" operator="lessThan" dxfId="0">
      <formula>20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9" customWidth="1" min="2" max="2"/>
    <col width="20" customWidth="1" min="3" max="3"/>
    <col width="10" customWidth="1" min="4" max="4"/>
    <col width="14" customWidth="1" min="5" max="5"/>
    <col width="12" customWidth="1" min="6" max="6"/>
    <col width="23" customWidth="1" min="7" max="7"/>
    <col width="23" customWidth="1" min="8" max="8"/>
  </cols>
  <sheetData>
    <row r="1">
      <c r="A1" s="2" t="inlineStr">
        <is>
          <t>Precio &lt; costo</t>
        </is>
      </c>
    </row>
    <row r="2">
      <c r="A2" s="8" t="inlineStr">
        <is>
          <t>sku</t>
        </is>
      </c>
      <c r="B2" s="8" t="inlineStr">
        <is>
          <t>descripcion</t>
        </is>
      </c>
      <c r="C2" s="8" t="inlineStr">
        <is>
          <t>categoria</t>
        </is>
      </c>
      <c r="D2" s="8" t="inlineStr">
        <is>
          <t>costo</t>
        </is>
      </c>
      <c r="E2" s="8" t="inlineStr">
        <is>
          <t>precio_venta</t>
        </is>
      </c>
      <c r="F2" s="8" t="inlineStr">
        <is>
          <t>margen_pct</t>
        </is>
      </c>
      <c r="G2" s="8" t="inlineStr">
        <is>
          <t>unidades_vendidas_12m</t>
        </is>
      </c>
      <c r="H2" s="8" t="inlineStr">
        <is>
          <t>perdida_potencial_12m</t>
        </is>
      </c>
    </row>
    <row r="3">
      <c r="A3" t="inlineStr">
        <is>
          <t>PLO-0010</t>
        </is>
      </c>
      <c r="B3" t="inlineStr">
        <is>
          <t>Cople cobre Dica 1"</t>
        </is>
      </c>
      <c r="C3" t="inlineStr">
        <is>
          <t>Plomería</t>
        </is>
      </c>
      <c r="D3" s="4" t="n">
        <v>372.84</v>
      </c>
      <c r="E3" s="4" t="n">
        <v>266.49</v>
      </c>
      <c r="F3" t="n">
        <v>-39.9</v>
      </c>
      <c r="G3" t="n">
        <v>1059</v>
      </c>
      <c r="H3" s="4" t="n">
        <v>-112624.65</v>
      </c>
    </row>
    <row r="4">
      <c r="A4" t="inlineStr">
        <is>
          <t>HER-0005</t>
        </is>
      </c>
      <c r="B4" t="inlineStr">
        <is>
          <t>Desarmador Surtek 5 m</t>
        </is>
      </c>
      <c r="C4" t="inlineStr">
        <is>
          <t>Herramientas</t>
        </is>
      </c>
      <c r="D4" s="4" t="n">
        <v>2260.15</v>
      </c>
      <c r="E4" s="4" t="n">
        <v>1674.16</v>
      </c>
      <c r="F4" t="n">
        <v>-35</v>
      </c>
      <c r="G4" t="n">
        <v>160</v>
      </c>
      <c r="H4" s="4" t="n">
        <v>-93758.39999999999</v>
      </c>
    </row>
    <row r="5">
      <c r="A5" t="inlineStr">
        <is>
          <t>PIN-0017</t>
        </is>
      </c>
      <c r="B5" t="inlineStr">
        <is>
          <t>Pintura vinílica Comex 2"</t>
        </is>
      </c>
      <c r="C5" t="inlineStr">
        <is>
          <t>Pinturas</t>
        </is>
      </c>
      <c r="D5" s="4" t="n">
        <v>282.11</v>
      </c>
      <c r="E5" s="4" t="n">
        <v>217.42</v>
      </c>
      <c r="F5" t="n">
        <v>-29.8</v>
      </c>
      <c r="G5" t="n">
        <v>726</v>
      </c>
      <c r="H5" s="4" t="n">
        <v>-46964.94</v>
      </c>
    </row>
    <row r="6">
      <c r="A6" t="inlineStr">
        <is>
          <t>IMP-0010</t>
        </is>
      </c>
      <c r="B6" t="inlineStr">
        <is>
          <t>Membrana refuerzo Thermotek</t>
        </is>
      </c>
      <c r="C6" t="inlineStr">
        <is>
          <t>Impermeabilizantes</t>
        </is>
      </c>
      <c r="D6" s="4" t="n">
        <v>412.93</v>
      </c>
      <c r="E6" s="4" t="n">
        <v>312.37</v>
      </c>
      <c r="F6" t="n">
        <v>-32.2</v>
      </c>
      <c r="G6" t="n">
        <v>140</v>
      </c>
      <c r="H6" s="4" t="n">
        <v>-14078.4</v>
      </c>
    </row>
    <row r="7">
      <c r="A7" t="inlineStr">
        <is>
          <t>PIN-0012</t>
        </is>
      </c>
      <c r="B7" t="inlineStr">
        <is>
          <t>Aerosol Comex 4 L</t>
        </is>
      </c>
      <c r="C7" t="inlineStr">
        <is>
          <t>Pinturas</t>
        </is>
      </c>
      <c r="D7" s="4" t="n">
        <v>101.8</v>
      </c>
      <c r="E7" s="4" t="n">
        <v>73.76000000000001</v>
      </c>
      <c r="F7" t="n">
        <v>-38</v>
      </c>
      <c r="G7" t="n">
        <v>365</v>
      </c>
      <c r="H7" s="4" t="n">
        <v>-10234.6</v>
      </c>
    </row>
    <row r="8">
      <c r="A8" t="inlineStr">
        <is>
          <t>PLO-0014</t>
        </is>
      </c>
      <c r="B8" t="inlineStr">
        <is>
          <t>Flotador Dica 15 m</t>
        </is>
      </c>
      <c r="C8" t="inlineStr">
        <is>
          <t>Plomería</t>
        </is>
      </c>
      <c r="D8" s="4" t="n">
        <v>19.7</v>
      </c>
      <c r="E8" s="4" t="n">
        <v>16.62</v>
      </c>
      <c r="F8" t="n">
        <v>-18.5</v>
      </c>
      <c r="G8" t="n">
        <v>486</v>
      </c>
      <c r="H8" s="4" t="n">
        <v>-1496.88</v>
      </c>
    </row>
    <row r="9">
      <c r="A9" t="inlineStr">
        <is>
          <t>PLO-0045</t>
        </is>
      </c>
      <c r="B9" t="inlineStr">
        <is>
          <t>Válvula esfera Coflex 2"</t>
        </is>
      </c>
      <c r="C9" t="inlineStr">
        <is>
          <t>Plomería</t>
        </is>
      </c>
      <c r="D9" s="4" t="n">
        <v>16.89</v>
      </c>
      <c r="E9" s="4" t="n">
        <v>13.74</v>
      </c>
      <c r="F9" t="n">
        <v>-22.9</v>
      </c>
      <c r="G9" t="n">
        <v>301</v>
      </c>
      <c r="H9" s="4" t="n">
        <v>-948.15</v>
      </c>
    </row>
  </sheetData>
  <autoFilter ref="A2:H9"/>
  <conditionalFormatting sqref="F3:F9">
    <cfRule type="cellIs" priority="1" operator="lessThan" dxfId="0">
      <formula>20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6" customWidth="1" min="4" max="4"/>
    <col width="28" customWidth="1" min="5" max="5"/>
    <col width="10" customWidth="1" min="6" max="6"/>
    <col width="19" customWidth="1" min="7" max="7"/>
    <col width="11" customWidth="1" min="8" max="8"/>
    <col width="11" customWidth="1" min="9" max="9"/>
  </cols>
  <sheetData>
    <row r="1">
      <c r="A1" s="2" t="inlineStr">
        <is>
          <t>Anomalías</t>
        </is>
      </c>
    </row>
    <row r="2">
      <c r="A2" s="8" t="inlineStr">
        <is>
          <t>fecha</t>
        </is>
      </c>
      <c r="B2" s="8" t="inlineStr">
        <is>
          <t>tipo</t>
        </is>
      </c>
      <c r="C2" s="8" t="inlineStr">
        <is>
          <t>ventas</t>
        </is>
      </c>
      <c r="D2" s="8" t="inlineStr">
        <is>
          <t>venta_esperada</t>
        </is>
      </c>
      <c r="E2" s="8" t="inlineStr">
        <is>
          <t>desviacion_vs_esperado_pct</t>
        </is>
      </c>
      <c r="F2" s="8" t="inlineStr">
        <is>
          <t>tickets</t>
        </is>
      </c>
      <c r="G2" s="8" t="inlineStr">
        <is>
          <t>tickets_esperados</t>
        </is>
      </c>
      <c r="H2" s="8" t="inlineStr">
        <is>
          <t>z_robusto</t>
        </is>
      </c>
      <c r="I2" s="8" t="inlineStr">
        <is>
          <t>z_tickets</t>
        </is>
      </c>
    </row>
    <row r="3">
      <c r="A3" s="9" t="n">
        <v>45652</v>
      </c>
      <c r="B3" t="inlineStr">
        <is>
          <t>Pico de venta</t>
        </is>
      </c>
      <c r="C3" s="4" t="n">
        <v>269821.88</v>
      </c>
      <c r="D3" s="4" t="n">
        <v>184682.09</v>
      </c>
      <c r="E3" t="n">
        <v>46.1</v>
      </c>
      <c r="F3" t="n">
        <v>113</v>
      </c>
      <c r="G3" t="n">
        <v>99</v>
      </c>
      <c r="H3" t="n">
        <v>6.42</v>
      </c>
      <c r="I3" t="n">
        <v>2.36</v>
      </c>
    </row>
    <row r="4">
      <c r="A4" s="9" t="n">
        <v>45730</v>
      </c>
      <c r="B4" t="inlineStr">
        <is>
          <t>Caída de operación</t>
        </is>
      </c>
      <c r="C4" s="4" t="n">
        <v>43121.06</v>
      </c>
      <c r="D4" s="4" t="n">
        <v>178852.95</v>
      </c>
      <c r="E4" t="n">
        <v>-75.90000000000001</v>
      </c>
      <c r="F4" t="n">
        <v>19</v>
      </c>
      <c r="G4" t="n">
        <v>98</v>
      </c>
      <c r="H4" t="n">
        <v>-2.03</v>
      </c>
      <c r="I4" t="n">
        <v>-6.66</v>
      </c>
    </row>
    <row r="5">
      <c r="A5" s="9" t="n">
        <v>45788</v>
      </c>
      <c r="B5" t="inlineStr">
        <is>
          <t>Pico de venta</t>
        </is>
      </c>
      <c r="C5" s="4" t="n">
        <v>172449.97</v>
      </c>
      <c r="D5" s="4" t="n">
        <v>100783.26</v>
      </c>
      <c r="E5" t="n">
        <v>71.09999999999999</v>
      </c>
      <c r="F5" t="n">
        <v>67</v>
      </c>
      <c r="G5" t="n">
        <v>57</v>
      </c>
      <c r="H5" t="n">
        <v>5.36</v>
      </c>
      <c r="I5" t="n">
        <v>1.69</v>
      </c>
    </row>
    <row r="6">
      <c r="A6" s="9" t="n">
        <v>45890</v>
      </c>
      <c r="B6" t="inlineStr">
        <is>
          <t>Pico de venta</t>
        </is>
      </c>
      <c r="C6" s="4" t="n">
        <v>738537.5699999999</v>
      </c>
      <c r="D6" s="4" t="n">
        <v>155510.56</v>
      </c>
      <c r="E6" t="n">
        <v>374.9</v>
      </c>
      <c r="F6" t="n">
        <v>99</v>
      </c>
      <c r="G6" t="n">
        <v>101</v>
      </c>
      <c r="H6" t="n">
        <v>12.67</v>
      </c>
      <c r="I6" t="n">
        <v>-0.27</v>
      </c>
    </row>
    <row r="7">
      <c r="A7" s="9" t="n">
        <v>45932</v>
      </c>
      <c r="B7" t="inlineStr">
        <is>
          <t>Caída de operación</t>
        </is>
      </c>
      <c r="C7" s="4" t="n">
        <v>41811.37</v>
      </c>
      <c r="D7" s="4" t="n">
        <v>170355.71</v>
      </c>
      <c r="E7" t="n">
        <v>-75.5</v>
      </c>
      <c r="F7" t="n">
        <v>23</v>
      </c>
      <c r="G7" t="n">
        <v>105</v>
      </c>
      <c r="H7" t="n">
        <v>-3.18</v>
      </c>
      <c r="I7" t="n">
        <v>-9.220000000000001</v>
      </c>
    </row>
    <row r="8">
      <c r="A8" s="9" t="n">
        <v>46064</v>
      </c>
      <c r="B8" t="inlineStr">
        <is>
          <t>Caída de operación</t>
        </is>
      </c>
      <c r="C8" s="4" t="n">
        <v>33026.13</v>
      </c>
      <c r="D8" s="4" t="n">
        <v>187573.42</v>
      </c>
      <c r="E8" t="n">
        <v>-82.40000000000001</v>
      </c>
      <c r="F8" t="n">
        <v>16</v>
      </c>
      <c r="G8" t="n">
        <v>113</v>
      </c>
      <c r="H8" t="n">
        <v>-8.19</v>
      </c>
      <c r="I8" t="n">
        <v>-16.36</v>
      </c>
    </row>
    <row r="9">
      <c r="A9" s="9" t="n">
        <v>46092</v>
      </c>
      <c r="B9" t="inlineStr">
        <is>
          <t>Caída de operación</t>
        </is>
      </c>
      <c r="C9" s="4" t="n">
        <v>121567.38</v>
      </c>
      <c r="D9" s="4" t="n">
        <v>193375.59</v>
      </c>
      <c r="E9" t="n">
        <v>-37.1</v>
      </c>
      <c r="F9" t="n">
        <v>91</v>
      </c>
      <c r="G9" t="n">
        <v>115</v>
      </c>
      <c r="H9" t="n">
        <v>-4.85</v>
      </c>
      <c r="I9" t="n">
        <v>-4.05</v>
      </c>
    </row>
    <row r="10">
      <c r="A10" s="9" t="n">
        <v>46129</v>
      </c>
      <c r="B10" t="inlineStr">
        <is>
          <t>Pico de venta</t>
        </is>
      </c>
      <c r="C10" s="4" t="n">
        <v>325201.2</v>
      </c>
      <c r="D10" s="4" t="n">
        <v>209079</v>
      </c>
      <c r="E10" t="n">
        <v>55.5</v>
      </c>
      <c r="F10" t="n">
        <v>134</v>
      </c>
      <c r="G10" t="n">
        <v>110</v>
      </c>
      <c r="H10" t="n">
        <v>5.81</v>
      </c>
      <c r="I10" t="n">
        <v>2.02</v>
      </c>
    </row>
    <row r="11">
      <c r="A11" s="9" t="n">
        <v>46149</v>
      </c>
      <c r="B11" t="inlineStr">
        <is>
          <t>Pico de venta</t>
        </is>
      </c>
      <c r="C11" s="4" t="n">
        <v>1106956.99</v>
      </c>
      <c r="D11" s="4" t="n">
        <v>222781.42</v>
      </c>
      <c r="E11" t="n">
        <v>396.9</v>
      </c>
      <c r="F11" t="n">
        <v>130</v>
      </c>
      <c r="G11" t="n">
        <v>110.5</v>
      </c>
      <c r="H11" t="n">
        <v>16.15</v>
      </c>
      <c r="I11" t="n">
        <v>1.2</v>
      </c>
    </row>
    <row r="12">
      <c r="A12" s="9" t="n">
        <v>46168</v>
      </c>
      <c r="B12" t="inlineStr">
        <is>
          <t>Variación atípica</t>
        </is>
      </c>
      <c r="C12" s="4" t="n">
        <v>286609.53</v>
      </c>
      <c r="D12" s="4" t="n">
        <v>216588.61</v>
      </c>
      <c r="E12" t="n">
        <v>32.3</v>
      </c>
      <c r="F12" t="n">
        <v>141</v>
      </c>
      <c r="G12" t="n">
        <v>109</v>
      </c>
      <c r="H12" t="n">
        <v>2.28</v>
      </c>
      <c r="I12" t="n">
        <v>4.32</v>
      </c>
    </row>
  </sheetData>
  <autoFilter ref="A2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2026-10-08T17:26:26Z</dcterms:created>
  <dcterms:modified xmlns:dcterms="http://purl.org/dc/terms/" xmlns:xsi="http://www.w3.org/2001/XMLSchema-instance" xsi:type="dcterms:W3CDTF">2026-10-08T17:26:26Z</dcterms:modified>
</cp:coreProperties>
</file>